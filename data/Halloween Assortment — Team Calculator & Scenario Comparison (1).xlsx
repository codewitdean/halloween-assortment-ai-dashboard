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tion brief" sheetId="1" r:id="rId5"/>
    <sheet state="visible" name="Product decisions" sheetId="2" r:id="rId6"/>
    <sheet state="visible" name="Product evidence" sheetId="3" r:id="rId7"/>
    <sheet state="visible" name="Assumptions" sheetId="4" r:id="rId8"/>
    <sheet state="hidden" name="Team summary" sheetId="5" r:id="rId9"/>
    <sheet state="hidden" name="Assortment guide" sheetId="6" r:id="rId10"/>
    <sheet state="hidden" name="Channel evidence" sheetId="7" r:id="rId11"/>
    <sheet state="hidden" name="Customer reviews" sheetId="8" r:id="rId12"/>
    <sheet state="hidden" name="New product risk" sheetId="9" r:id="rId13"/>
    <sheet state="hidden" name="Profit model" sheetId="10" r:id="rId14"/>
    <sheet state="hidden" name="Source data" sheetId="11" r:id="rId15"/>
  </sheets>
  <definedNames/>
  <calcPr/>
</workbook>
</file>

<file path=xl/sharedStrings.xml><?xml version="1.0" encoding="utf-8"?>
<sst xmlns="http://schemas.openxmlformats.org/spreadsheetml/2006/main" count="1363" uniqueCount="376">
  <si>
    <t>Halloween assortment — team presentation brief</t>
  </si>
  <si>
    <t>Decision status</t>
  </si>
  <si>
    <t>Product evidence — facts first, AI interpretation last</t>
  </si>
  <si>
    <t>Current items: supplied historical results. Channel shares use units sold; ratings show the average and number of reviews.</t>
  </si>
  <si>
    <t>Current product</t>
  </si>
  <si>
    <t>Store products</t>
  </si>
  <si>
    <t>Actual gross profit / margin</t>
  </si>
  <si>
    <t>Count</t>
  </si>
  <si>
    <t>Inputs and assumptions — AI modeling choices</t>
  </si>
  <si>
    <t>Full-price sell-through</t>
  </si>
  <si>
    <t>Store facings</t>
  </si>
  <si>
    <t>Store / online units %</t>
  </si>
  <si>
    <t>Target 16</t>
  </si>
  <si>
    <t>Stars (reviews)</t>
  </si>
  <si>
    <t>Online products</t>
  </si>
  <si>
    <t>Team decisions — compare, choose, explain</t>
  </si>
  <si>
    <t>AI consideration</t>
  </si>
  <si>
    <t>Maximum 4</t>
  </si>
  <si>
    <t>Chosen</t>
  </si>
  <si>
    <t>Yellow cells are editable model inputs, not supplied forecasts. Origins and limitations are on Presentation brief.</t>
  </si>
  <si>
    <t>Used</t>
  </si>
  <si>
    <t>AI options: Balanced, Maximum profit, Lower investment. Your decision: Team choice. Keep Undecided until discussed; write your reason in Team rationale.</t>
  </si>
  <si>
    <t>Demand case</t>
  </si>
  <si>
    <t>Full-price demand multiplier</t>
  </si>
  <si>
    <t>Remaining stock sold on clearance</t>
  </si>
  <si>
    <t>Clearance price / retail</t>
  </si>
  <si>
    <t>Product</t>
  </si>
  <si>
    <t>Base</t>
  </si>
  <si>
    <t>Pending decisions</t>
  </si>
  <si>
    <t>Decided, no rationale</t>
  </si>
  <si>
    <t>Current / new</t>
  </si>
  <si>
    <t>Balanced</t>
  </si>
  <si>
    <t>Required facings</t>
  </si>
  <si>
    <t>Why keep, move, remove or pass</t>
  </si>
  <si>
    <t>Categories in-store</t>
  </si>
  <si>
    <t>Average stars</t>
  </si>
  <si>
    <t>Review count</t>
  </si>
  <si>
    <t>Proven hero; 3 facings. Keeping it in-store is a deliberate traffic/demo judgment despite 55% online sales.</t>
  </si>
  <si>
    <t>Maximum profit</t>
  </si>
  <si>
    <t>Lower investment</t>
  </si>
  <si>
    <t>Team choice</t>
  </si>
  <si>
    <t>Compare the AI approaches — these are options, not your team’s selections.</t>
  </si>
  <si>
    <t>Category</t>
  </si>
  <si>
    <t>Approach</t>
  </si>
  <si>
    <t>Purpose</t>
  </si>
  <si>
    <t>Product spend</t>
  </si>
  <si>
    <t>Optimizer tradeoff</t>
  </si>
  <si>
    <t>Base profit*</t>
  </si>
  <si>
    <t>Downside profit*</t>
  </si>
  <si>
    <t>Team rationale</t>
  </si>
  <si>
    <t>Store / online items</t>
  </si>
  <si>
    <t>Balance profit, variety and cash exposure.</t>
  </si>
  <si>
    <t>Downside</t>
  </si>
  <si>
    <t>Upside</t>
  </si>
  <si>
    <t>12 ft Giant Skeleton</t>
  </si>
  <si>
    <t>Current</t>
  </si>
  <si>
    <t>In-Store</t>
  </si>
  <si>
    <t>Shared driver</t>
  </si>
  <si>
    <t>Value</t>
  </si>
  <si>
    <t>Meaning</t>
  </si>
  <si>
    <t>New product full-price demand / minimum</t>
  </si>
  <si>
    <t>Base store demand assumption; not a vendor forecast.</t>
  </si>
  <si>
    <t>New online demand / store demand</t>
  </si>
  <si>
    <t>Conservative online-only demand assumption for new products.</t>
  </si>
  <si>
    <t>Recapture of other-channel current demand</t>
  </si>
  <si>
    <t>Example: store-only gets prior store units + 50% of prior online units.</t>
  </si>
  <si>
    <t>Lower-investment base profit floor</t>
  </si>
  <si>
    <t>Solver minimizes product spend while keeping at least 90% of balanced base profit.</t>
  </si>
  <si>
    <t>Maximize modeled profit; no buying budget.</t>
  </si>
  <si>
    <t>Order quantity</t>
  </si>
  <si>
    <t>Minimum allowed</t>
  </si>
  <si>
    <t>Quantity check</t>
  </si>
  <si>
    <t>70% online supports moving it online; low full-price sell-through suggests purchase risk.</t>
  </si>
  <si>
    <t>Minimize spend; keep ≥90% of Balanced base profit.</t>
  </si>
  <si>
    <t>9 ft Animated Pirate Ship</t>
  </si>
  <si>
    <t>7 ft Animated Reaper</t>
  </si>
  <si>
    <t>Your selections; still pending until all products are decided.</t>
  </si>
  <si>
    <t>5.5 ft LED Skeleton Pony</t>
  </si>
  <si>
    <t>10.5 ft Licensed Character Inflatable</t>
  </si>
  <si>
    <t>9.5 ft Licensed Sandworm Inflatable</t>
  </si>
  <si>
    <t>Online-Only</t>
  </si>
  <si>
    <t>12 ft Reaper Inflatable</t>
  </si>
  <si>
    <t>6 ft Scarecrow Inflatable</t>
  </si>
  <si>
    <t>24 in Metal Tombstone</t>
  </si>
  <si>
    <t>Strong profit from one facing; equal store/online split.</t>
  </si>
  <si>
    <t>5 ft Skeleton Tombstone</t>
  </si>
  <si>
    <t>LED Fog Machine</t>
  </si>
  <si>
    <t>Giants &amp; Animatronics</t>
  </si>
  <si>
    <t>Pathway Light Set (6-piece)</t>
  </si>
  <si>
    <t>Maximum profit: Online-Only. Lower investment: Online-Only. Both optimizers ignore unmeasured store traffic benefits.</t>
  </si>
  <si>
    <t>*Modeled profit = sales minus the cost of the entire order, including unsold units. It excludes operating expenses. The downside is a stress scenario, not a forecast.</t>
  </si>
  <si>
    <t>16 ft Inflatable Haunted Archway</t>
  </si>
  <si>
    <t>How the team uses this workbook</t>
  </si>
  <si>
    <t>Life-Size Animated Butler</t>
  </si>
  <si>
    <t>1. Review Product evidence; compare the three AI options on Product decisions.</t>
  </si>
  <si>
    <t>2. Change Team choice from Undecided to In-Store, Online-Only or Removed. Add your team’s reason in Team rationale.</t>
  </si>
  <si>
    <t>Animated Witch Cauldron</t>
  </si>
  <si>
    <t>3. Use the chosen rows, reasons and completed totals for slides. Address tradeoffs, then add the required bonus-product pitch and honest AI reflection.</t>
  </si>
  <si>
    <t>Halloween Doormat Assortment</t>
  </si>
  <si>
    <t>Where the information came from</t>
  </si>
  <si>
    <t>What to say in the presentation</t>
  </si>
  <si>
    <t>Supplied event documents</t>
  </si>
  <si>
    <t>14 ft Giant Animated Dragon</t>
  </si>
  <si>
    <t>Historical performance, unit costs, prices, facings, ratings and review counts; supplier minimum order quantities and claims. Rules: exactly 16 store facings, up to four online-only items, and all three categories.</t>
  </si>
  <si>
    <t>Your priorities and edits</t>
  </si>
  <si>
    <t>Use store space efficiently; consider margin dollars, return on product spending and mandatory buys; compare current and new items; pair ratings with review counts; use channel shares. You set all 26 choices to Undecided for team review.</t>
  </si>
  <si>
    <t>6 ft Licensed Movie Villain</t>
  </si>
  <si>
    <t>AI calculations</t>
  </si>
  <si>
    <t>Channel unit shares, margin and return calculations, clearance exposure, and complete alternative assortments. Calculated results are derived from supplied inputs; they are not additional observed sales.</t>
  </si>
  <si>
    <t>AI judgment and assumptions</t>
  </si>
  <si>
    <t>Balanced recommendation, product tradeoffs and demand stress cases. New-item demand, channel recapture and clearance outcomes are assumptions in Assumptions. The optimizer does not measure traffic-building or cannibalization.</t>
  </si>
  <si>
    <t>9 ft Licensed Franchise Inflatable</t>
  </si>
  <si>
    <t>Team decisions — still pending</t>
  </si>
  <si>
    <t>The Team choice and Team rationale fields belong to your team. AI suggestions remain separate. Undecided is excluded from partial selected totals and prevents a final presentation total.</t>
  </si>
  <si>
    <t>7 ft Licensed Sitcom Character</t>
  </si>
  <si>
    <t>Source / limitation</t>
  </si>
  <si>
    <t>Reference</t>
  </si>
  <si>
    <t>Source workbook</t>
  </si>
  <si>
    <t>8 ft Inflatable Black Cat</t>
  </si>
  <si>
    <t>Halloween_Line Review Case Study_Data - Copy.xlsx — Student Data rows 6–21 and 27–36; Glossary. Original supplied file remains unchanged.</t>
  </si>
  <si>
    <t>Event instructions</t>
  </si>
  <si>
    <t>Hometown AI Innovation Challenge Case Study_Instructions - Students.pdf — pages 1–3. VP audience; eight minutes, maximum 10 slides; bonus item and AI reflection required.</t>
  </si>
  <si>
    <t>Interpretation limits</t>
  </si>
  <si>
    <t>12 ft Inflatable Haunted Tree</t>
  </si>
  <si>
    <t>Channel shares are units, not revenue. Prior online-only availability explains 100% online share. New items have no supplied sales or reviews. All current items recovered product cost in last season’s data.</t>
  </si>
  <si>
    <t>Detailed support</t>
  </si>
  <si>
    <t>The original analysis and source tabs are retained but hidden to keep the working view compact. Unhide them if you need to trace a figure. Edit demand and purchase controls on Assumptions.</t>
  </si>
  <si>
    <t>Fog Machine w/ Bluetooth Sound</t>
  </si>
  <si>
    <t>Animated Talking Portrait</t>
  </si>
  <si>
    <t>Healthy margin and mid-price option; investigate the 4.1-star feedback.</t>
  </si>
  <si>
    <t>Solar Pathway Ghosts (4-pc)</t>
  </si>
  <si>
    <t>24 in Light-Up Pumpkin Stack</t>
  </si>
  <si>
    <t>Model meaning</t>
  </si>
  <si>
    <t>Profit after full buy cost = sales revenue less the cost of every unit ordered.</t>
  </si>
  <si>
    <t>Unsold units receive zero recovery in that conservative measure; unsold inventory cost is shown separately.</t>
  </si>
  <si>
    <t>Gross profit on sold units is also available in Profit model; neither measure includes freight, returns, labor, royalties beyond supplied cost, or other operating expenses.</t>
  </si>
  <si>
    <t>Current quantity defaults to last season’s purchase, not a supplier minimum. New quantity may increase but may not fall below the mandatory minimum.</t>
  </si>
  <si>
    <t>Scenario placements were optimized once at the original assumptions. Formulas revalue them live; they do not rerun the discrete optimizer after edits.</t>
  </si>
  <si>
    <t>Demand cases use one shared row-based calculation engine. Product demand is independent; cannibalization and store traffic benefits are not estimated.</t>
  </si>
  <si>
    <t>Only 4.2% realized margin across two facings; ratings do not fix the economics.</t>
  </si>
  <si>
    <t>Removed</t>
  </si>
  <si>
    <t xml:space="preserve">Lower investment: Removed. </t>
  </si>
  <si>
    <t>Halloween assortment: team decision brief</t>
  </si>
  <si>
    <t>What I Recommendation: Balanced - it has exactly 16 facings, 4 online-only items, all three categories in-store.</t>
  </si>
  <si>
    <t>Assortment</t>
  </si>
  <si>
    <t>Product purchases</t>
  </si>
  <si>
    <t>New-product purchases</t>
  </si>
  <si>
    <t>Sales revenue</t>
  </si>
  <si>
    <t>Profit after full buy cost</t>
  </si>
  <si>
    <t>Return on buy cost</t>
  </si>
  <si>
    <t>Unsold inventory cost</t>
  </si>
  <si>
    <t>Profit vs balanced</t>
  </si>
  <si>
    <t>Sales vs last year</t>
  </si>
  <si>
    <t>Licensed variety in one facing; 65% online challenges the store recommendation.</t>
  </si>
  <si>
    <t>Same placement in all three options.</t>
  </si>
  <si>
    <t>Half sold on clearance; only 2.5% realized margin.</t>
  </si>
  <si>
    <t>Affordable inflatable; 65% store share supports store placement.</t>
  </si>
  <si>
    <t>High margin and 70% store share; only six reviews behind the five-star average.</t>
  </si>
  <si>
    <t>Inflatables</t>
  </si>
  <si>
    <t>Healthy one-facing profit; high rating is based on only 10 reviews.</t>
  </si>
  <si>
    <t xml:space="preserve">Maximum profit: Removed. Lower investment: Removed. </t>
  </si>
  <si>
    <t>68% sold on clearance. Recovered product cost, but left only $48,500 gross profit.</t>
  </si>
  <si>
    <t>Strong full-price demand; 70% store share supports keeping it in-store.</t>
  </si>
  <si>
    <t>What is in each assortment?</t>
  </si>
  <si>
    <t>Proven online-only item; avoids three store facings. Store demand untested.</t>
  </si>
  <si>
    <t>Each column is a complete alternative lineup. A product can appear in several alternatives. Definitions follow the list.</t>
  </si>
  <si>
    <t>Strong online history; 90% sold full-price. Avoids two store facings.</t>
  </si>
  <si>
    <t>Profitable, but loses the Balanced online slot competition; removed for capacity.</t>
  </si>
  <si>
    <t>Weak full-price demand and low gross profit; 100% online reflects availability.</t>
  </si>
  <si>
    <t>Decor &amp; Accessories</t>
  </si>
  <si>
    <t>New items: supplier terms, not sales forecasts. Minimum investment = mandatory quantity × unit cost. No historical channel sales or reviews supplied.</t>
  </si>
  <si>
    <t>New product</t>
  </si>
  <si>
    <t>Retail / unit cost</t>
  </si>
  <si>
    <t>Mandatory units</t>
  </si>
  <si>
    <t>Minimum investment</t>
  </si>
  <si>
    <t>Full-price margin</t>
  </si>
  <si>
    <t>$10.8m minimum buy and four facings. High upside; unproven demand. Half-price clearance loses $15.50 per unit.</t>
  </si>
  <si>
    <t>$3.01m minimum buy. Lower return on cost than the sitcom option; no review history.</t>
  </si>
  <si>
    <t>Thin full-price margin. Half-price clearance loses $58.50 per unit.</t>
  </si>
  <si>
    <t>Lower cash exposure than Movie Villain; still an unproven 9,000-unit buy. Requires two facings.</t>
  </si>
  <si>
    <t>Classic lower-price inflatable; healthier unit margin than licensed candidates. Demand unproven.</t>
  </si>
  <si>
    <t>Large footprint supports online placement. Compact carton is a supplied merchant note, not verified fulfillment cost.</t>
  </si>
  <si>
    <t>Minimum 20,000 units versus 8,000 full-price units for old fog. Features do not establish demand.</t>
  </si>
  <si>
    <t xml:space="preserve">Lower investment: In-Store. </t>
  </si>
  <si>
    <t>Low cash commitment and high margin; smaller total profit. No review history.</t>
  </si>
  <si>
    <t>Healthy unit margin and modest cash commitment. Check overlap with existing pathway lights.</t>
  </si>
  <si>
    <t>Affordable entry item; half-price clearance still earns $5.99 per unit before expenses.</t>
  </si>
  <si>
    <t xml:space="preserve">Lower investment: Online-Only. </t>
  </si>
  <si>
    <t>Where did customers buy last season?</t>
  </si>
  <si>
    <t>Unit share = channel units ÷ total units sold. Includes full-price and clearance sales. Channel revenue and profit are not supplied.</t>
  </si>
  <si>
    <t>Store units</t>
  </si>
  <si>
    <t>Online units</t>
  </si>
  <si>
    <t>Store share</t>
  </si>
  <si>
    <t>Online share</t>
  </si>
  <si>
    <t>Balanced choice</t>
  </si>
  <si>
    <t>What the channel evidence means</t>
  </si>
  <si>
    <t>Same placement in all three options. The up-to-four online limit removes the need for low-cost space filling.</t>
  </si>
  <si>
    <t>New</t>
  </si>
  <si>
    <t>55% online challenges store placement. Balanced keeps this centerpiece in-store for demonstration and possible traffic benefits, which are not measured. Optimized alternatives choose online.</t>
  </si>
  <si>
    <t>PASS: mandatory 45,000 units cost $10.8m and require four facings. No supplied demand or review history. Vendor sellout claim is unverified. $224.50 half-price clearance is below $240 unit cost. Strong modeled upside, but concentrated cash and demand risk.</t>
  </si>
  <si>
    <t>Online items</t>
  </si>
  <si>
    <t>Giants in-store</t>
  </si>
  <si>
    <t>Inflatables in-store</t>
  </si>
  <si>
    <t>Decor in-store</t>
  </si>
  <si>
    <t>Placement check</t>
  </si>
  <si>
    <t>Quantity checks</t>
  </si>
  <si>
    <t xml:space="preserve">Maximum profit: In-Store. </t>
  </si>
  <si>
    <t>Lower-cost floor</t>
  </si>
  <si>
    <t>70% online supports moving online and releasing two facings. Reassess order quantity because only 60% sold full price.</t>
  </si>
  <si>
    <t>PASS: 14,000-unit minimum costs $3.01m. Licensed royalty is already in cost. 34.7% full-price margin, falling to 27.4% at 80% full-price sell-through. Sitcom option requires less cash and offers better return on cost.</t>
  </si>
  <si>
    <t>Equal channel split provides no clear winner. One-facing footprint and strong gross profit support in-store placement.</t>
  </si>
  <si>
    <t>A modest store majority supports keeping it in-store. Investigate the 4.1-star rating from 100 reviews.</t>
  </si>
  <si>
    <t>Online majority does not fix the 4.2% realized margin. Remove for weak economics rather than use a limited online slot.</t>
  </si>
  <si>
    <t>PASS: 12,000-unit minimum costs $1.656m. Only $21 margin at full price. Half-price clearance loses $58.50 per unit. At 80% full-price sell-through, modeled margin is just 3.6%. No ratings supplied.</t>
  </si>
  <si>
    <t>65% online challenges the Balanced store decision. Keeping a one-facing licensed inflatable in-store is a deliberate variety tradeoff.</t>
  </si>
  <si>
    <t>A slight online majority does not fix 2.5% margin or 50% full-price sell-through. Remove rather than shift weak economics online.</t>
  </si>
  <si>
    <t>ADD: licensed animation with 41.2% full-price margin. 9,000-unit mandatory buy costs $1.476m versus $3.01m for Movie Villain. Still unproven and requires two facings. Source note incorrectly claims the existing Reaper has the same footprint.</t>
  </si>
  <si>
    <t>65% store share supports an affordable in-store inflatable. 85% full-price sell-through strengthens the evidence.</t>
  </si>
  <si>
    <t>ADD: classic $79 inflatable; 16,000-unit buy costs $640,000. $39 full-price unit margin. More cushion than licensed inflatable candidates, but demand remains unproven.</t>
  </si>
  <si>
    <t>70% store share supports store discovery and impulse purchases. High margin helps; the five-star average is based on only six reviews.</t>
  </si>
  <si>
    <t>A slight online majority is not decisive. Balanced keeps it in-store for one-facing profitability. Its 4.8 average has only 10 reviews.</t>
  </si>
  <si>
    <t>ADD ONLINE: 7,000-unit minimum costs $616,000. Extends oversized variety without two store facings. Vendor notes compact shipping carton. No historical online demand or ratings; model applies an 80% online demand factor.</t>
  </si>
  <si>
    <t>60% store share tells us where it sold, not whether it sold profitably. Only 32% sold full price; remove for clearance-heavy economics.</t>
  </si>
  <si>
    <t xml:space="preserve">Maximum profit: Removed. Lower investment: In-Store. </t>
  </si>
  <si>
    <t>70% store share supports this complementary in-store item. 85% full-price sell-through strengthens the case.</t>
  </si>
  <si>
    <t>PASS: 20,000-unit minimum costs $1.04m, versus only 8,000 full-price units sold for old fog. Features do not prove a demand fix. At the old 32% full-price rate with remaining units half-price, profit would be $134,800 before other expenses.</t>
  </si>
  <si>
    <t>Previously online-only: 100% online reflects availability, not a controlled preference test. Proven online sales and a three-facing footprint support staying online.</t>
  </si>
  <si>
    <t>ADD: 9,000-unit minimum costs only $63,000. 82.5% full-price margin and $39.98 price. Lower total profit than large products, but efficient capital use and in-store discovery potential. No ratings supplied.</t>
  </si>
  <si>
    <t>Previously online-only. Proven demand, 90% full-price sell-through and a two-facing footprint support keeping it online. Store demand is untested.</t>
  </si>
  <si>
    <t xml:space="preserve">Maximum profit: Removed. </t>
  </si>
  <si>
    <t>Previously online-only, so channel share cannot reveal store appeal. Balanced removes it for limited online capacity despite healthy profit.</t>
  </si>
  <si>
    <t>ADD: 12,000-unit minimum costs $192,000. 64.4% full-price margin. Solar functionality adds variety; half-price clearance remains above unit cost. Check overlap with existing pathway lights.</t>
  </si>
  <si>
    <t>Previously online-only. 100% online does not mean strong demand: 45% full-price sell-through and low gross profit support removal.</t>
  </si>
  <si>
    <t>Not supplied</t>
  </si>
  <si>
    <t>No historical channel sales supplied. Placement is a hypothesis based on footprint, economics and product role. The online demand factor in Assumptions is a model assumption.</t>
  </si>
  <si>
    <t>ADD: $29.98 entry item; 22,000-unit minimum costs $198,000. 70.0% full-price margin. Half-price clearance still earns $5.99 per unit before expenses. Quantity is substantial but cash exposure is relatively low.</t>
  </si>
  <si>
    <t>Decision guide</t>
  </si>
  <si>
    <t>Explanation</t>
  </si>
  <si>
    <t>Balanced recommendation</t>
  </si>
  <si>
    <t>Keeps the proven Giant Skeleton in stores, affordable inflatables and accessories, plus licensed variety. Trades some modeled profit for range and lower new-product exposure.</t>
  </si>
  <si>
    <t>Exact dynamic-programming optimum at original base assumptions: maximize profit after full buy cost with exactly 16 facings, zero to four online items and all categories in-store. No purchase budget or required hero placement.</t>
  </si>
  <si>
    <t>Minimum product spend at original base assumptions, retaining at least 90% of balanced base profit, exactly 16 facings and up to four online items. The updated solution uses three online items. This is an analytical alternative, not a stated team budget.</t>
  </si>
  <si>
    <t>What changes live</t>
  </si>
  <si>
    <t>Edit Team choice on Product decisions, order quantities on Assumptions, and demand/clearance inputs. All twelve comparison rows update. Solver-generated placements remain fixed until the optimization is rerun.</t>
  </si>
  <si>
    <t>Why models need judgment</t>
  </si>
  <si>
    <t>Both optimized options move the Giant Skeleton online. Lower investment now removes doormats, keeps the Skeleton Tombstone in-store, and uses three online items. The model cannot value traffic, themes, licensed appeal, or cannibalization.</t>
  </si>
  <si>
    <t>Historic benchmark</t>
  </si>
  <si>
    <t>Last year: $29,481,672 sales and $14,775,172 gross profit on $14,706,500 product cost. All current products recovered product cost. Figures cover the supplied business dataset, not one store.</t>
  </si>
  <si>
    <t>Channel and demand assumptions</t>
  </si>
  <si>
    <t>Historical sales include both channels. Current exclusive-channel demand retains its past channel units plus 50% of the other channel, then applies historical full-price mix. New store full-price demand starts at 80% of mandatory quantity; new online at 80% of that.</t>
  </si>
  <si>
    <t>A channel majority supports a decision; it does not prove demand will transfer when the other channel is removed.</t>
  </si>
  <si>
    <t>Downside inventory exposure</t>
  </si>
  <si>
    <t>Downside reduces full-price demand by 30% and clears only half of remaining stock. Unsold stock is not assumed sold; its full cost reduces the conservative profit measure. This is a scenario, not a probability forecast.</t>
  </si>
  <si>
    <t>Source: supplied Student Data columns K–L, current rows 6–21; reproduced in Source data columns J–K. New products have no channel history.</t>
  </si>
  <si>
    <t>Review interpretation</t>
  </si>
  <si>
    <t>Giant Skeleton: 4.5 average from 1,200 reviews. Metal Tombstone: 5.0 from six. Skeleton Tombstone: 4.8 from 10. Larger samples are more informative, but average ratings are not demand forecasts.</t>
  </si>
  <si>
    <t>New-product commitments</t>
  </si>
  <si>
    <t>Mandatory order quantities are not optional. Rejecting the Dragon reflects a $10.8m unproven purchase commitment, not poor modeled profit. Bluetooth fog asks for 20,000 units despite old fog selling only 8,000 at full price.</t>
  </si>
  <si>
    <t>Source conflict</t>
  </si>
  <si>
    <t>Sitcom Character requires two facings. Existing Animated Reaper requires one. Use the numeric required-facings fields, not the conflicting vendor-sheet merchant note.</t>
  </si>
  <si>
    <t>Next decisions for the team</t>
  </si>
  <si>
    <t>Challenge recapture and online-demand assumptions; validate shipping and return costs; negotiate minimums; decide whether the Giant Skeleton must stay in-store before choosing an optimized alternative.</t>
  </si>
  <si>
    <t>Event requirements</t>
  </si>
  <si>
    <t>Student instructions: exactly 16 facings; zero to four online-only items; all three categories; AI reflection; no more than 10 slides and eight minutes. Four online items is a maximum, not a requirement.</t>
  </si>
  <si>
    <t>Demand input check</t>
  </si>
  <si>
    <t>Customer ratings need a review count</t>
  </si>
  <si>
    <t>A 4.5 average from 1,200 reviews does not mean 1,200 people each gave 4.5 stars. Individual ratings and review text are not supplied.</t>
  </si>
  <si>
    <t>Review evidence</t>
  </si>
  <si>
    <t>Realized margin</t>
  </si>
  <si>
    <t>Historical gross profit</t>
  </si>
  <si>
    <t>Return on full purchase cost</t>
  </si>
  <si>
    <t>Clearance unit profit</t>
  </si>
  <si>
    <t>Interpretation</t>
  </si>
  <si>
    <t>Larger sample</t>
  </si>
  <si>
    <t>More observations support the average, but reviews are self-selected and do not measure demand or eliminate bias.</t>
  </si>
  <si>
    <t>Check</t>
  </si>
  <si>
    <t>Store facings: exactly 16</t>
  </si>
  <si>
    <t>Online products: up to 4</t>
  </si>
  <si>
    <t>Recommended complete lineup: weighs profit, inventory spending, price points, themes and store discovery. Keeps the Giant Skeleton in-store and includes affordable inflatables and accessories.</t>
  </si>
  <si>
    <t>Complete alternative that maximizes modeled profit after full purchase cost at the original assumptions. No purchase budget. It can favor expensive new products and move the Skeleton online.</t>
  </si>
  <si>
    <t>Complete alternative that minimizes product purchases while retaining at least 90% of Balanced base-case profit. Uses three online slots under the up-to-four limit.</t>
  </si>
  <si>
    <t>What we decide</t>
  </si>
  <si>
    <t>New products: purchase commitments and clearance risk</t>
  </si>
  <si>
    <t>Small sample: fewer than 30</t>
  </si>
  <si>
    <t>Base and downside below assume in-store placement for comparison. Actual online economics appear in Profit model. All new ratings are unavailable.</t>
  </si>
  <si>
    <t>Supplied product evidence</t>
  </si>
  <si>
    <t>Profit model: product × channel × demand case</t>
  </si>
  <si>
    <t>Minimum product cost</t>
  </si>
  <si>
    <t>Source: Halloween_Line Review Case Study_Data - Copy.xlsx; Student Data rows 6–21 and 27–36. Blanks mean not supplied.</t>
  </si>
  <si>
    <t>Half-price unit profit</t>
  </si>
  <si>
    <t>Base profit: store</t>
  </si>
  <si>
    <t>Downside profit: store</t>
  </si>
  <si>
    <t>Downside unsold cost</t>
  </si>
  <si>
    <t>Full-price break-even share</t>
  </si>
  <si>
    <t>Balanced decision</t>
  </si>
  <si>
    <t>Full buy cost includes unsold inventory. Scenario flags link to Product decisions. All demand assumptions link to Assumptions.</t>
  </si>
  <si>
    <t>Retail price</t>
  </si>
  <si>
    <t>Unit cost</t>
  </si>
  <si>
    <t>Historical buy / new minimum</t>
  </si>
  <si>
    <t>Full-price units</t>
  </si>
  <si>
    <t>Clearance units</t>
  </si>
  <si>
    <t>Historical sales</t>
  </si>
  <si>
    <t>Licensed</t>
  </si>
  <si>
    <t>Vendor claim</t>
  </si>
  <si>
    <t>Merchant note</t>
  </si>
  <si>
    <t>Source range</t>
  </si>
  <si>
    <t>Original channel</t>
  </si>
  <si>
    <t>Channel</t>
  </si>
  <si>
    <t>Full-price demand</t>
  </si>
  <si>
    <t>Full-price units sold</t>
  </si>
  <si>
    <t>Clearance units sold</t>
  </si>
  <si>
    <t>Unsold units</t>
  </si>
  <si>
    <t>Full purchase cost</t>
  </si>
  <si>
    <t>Gross profit: sold units</t>
  </si>
  <si>
    <t>No</t>
  </si>
  <si>
    <t>Profit / facing (store)</t>
  </si>
  <si>
    <t>Balanced selected</t>
  </si>
  <si>
    <t>Student Data!A6:S6</t>
  </si>
  <si>
    <t>Maximum profit selected</t>
  </si>
  <si>
    <t>Lower investment selected</t>
  </si>
  <si>
    <t>Team selected</t>
  </si>
  <si>
    <t>New purchase cost</t>
  </si>
  <si>
    <t>Average realized margin</t>
  </si>
  <si>
    <t>Student Data!A7:S7</t>
  </si>
  <si>
    <t>Student Data!A8:S8</t>
  </si>
  <si>
    <t>Student Data!A9:S9</t>
  </si>
  <si>
    <t>Yes</t>
  </si>
  <si>
    <t>Student Data!A10:S10</t>
  </si>
  <si>
    <t>Treat the high average cautiously. The 30-review cutoff is a display heuristic, not a statistical confidence test.</t>
  </si>
  <si>
    <t>Student Data!A11:S11</t>
  </si>
  <si>
    <t>Student Data!A12:S12</t>
  </si>
  <si>
    <t>Student Data!A13:S13</t>
  </si>
  <si>
    <t>Student Data!A14:S14</t>
  </si>
  <si>
    <t>Student Data!A15:S15</t>
  </si>
  <si>
    <t>Student Data!A16:S16</t>
  </si>
  <si>
    <t>Student Data!A17:S17</t>
  </si>
  <si>
    <t>Student Data!A18:S18</t>
  </si>
  <si>
    <t>Student Data!A19:S19</t>
  </si>
  <si>
    <t>Student Data!A20:S20</t>
  </si>
  <si>
    <t>Student Data!A21:S21</t>
  </si>
  <si>
    <t>The biggest launch since the 12 ft skeleton. Expect it to sell out nationally.</t>
  </si>
  <si>
    <t>Forecast is 12.5% above our proven hero at a 50% higher price, with no brand equity behind it. Every clearance unit loses money, something to be aware of.</t>
  </si>
  <si>
    <t>Student Data!A27:L27</t>
  </si>
  <si>
    <t>Candidate</t>
  </si>
  <si>
    <t>Instantly recognizable horror property with guaranteed social media pickup.</t>
  </si>
  <si>
    <t>Royalty is already baked in. Compare the realized margin to the licensed inflatable we carry today.</t>
  </si>
  <si>
    <t>Student Data!A28:L28</t>
  </si>
  <si>
    <t>A fan-favourite property. Customers will drive across town for this one.</t>
  </si>
  <si>
    <t>Royalty leaves almost nothing - check the margin rate before anything else, and look at what a clearance unit costs us.</t>
  </si>
  <si>
    <t>Student Data!A29:L29</t>
  </si>
  <si>
    <t>Beloved property with cross-generational appeal. Animated, with authentic voice lines.</t>
  </si>
  <si>
    <t>Licensed, but the royalty here is far lighter - 41% rate. Lands at the same price and footprint as our existing 7 ft Animated Reaper.</t>
  </si>
  <si>
    <t>Student Data!A30:L30</t>
  </si>
  <si>
    <t>Proven silhouette. A must-have anchor for any inflatable set.</t>
  </si>
  <si>
    <t>No royalty, house brand.</t>
  </si>
  <si>
    <t>Student Data!A31:L31</t>
  </si>
  <si>
    <t>Towering centerpiece that turns any yard into a haunted forest.</t>
  </si>
  <si>
    <t>Large footprint but ships in a compact carton - worth asking whether this belongs online rather than in the aisle.</t>
  </si>
  <si>
    <t>Student Data!A32:L32</t>
  </si>
  <si>
    <t>App-controlled fog with built-in sound. Our break is built for a category-leading position.</t>
  </si>
  <si>
    <t>Before replacing fog, look at whether last season's fog problem was the item or the quantity we bought.</t>
  </si>
  <si>
    <t>Student Data!A33:L33</t>
  </si>
  <si>
    <t>Guests will not believe their eyes. Our highest-margin item, ever.</t>
  </si>
  <si>
    <t>Highest margin rate on the sheet - check what that rate produces in dollars against the space it takes.</t>
  </si>
  <si>
    <t>Student Data!A34:L34</t>
  </si>
  <si>
    <t>Zero wiring, endless charm. Customers buy two and three sets at a time.</t>
  </si>
  <si>
    <t>Steady, unglamorous, good rate.</t>
  </si>
  <si>
    <t>Student Data!A35:L35</t>
  </si>
  <si>
    <t>The perfect entry point into Halloween. Impulse gold.</t>
  </si>
  <si>
    <t>Fat margin means clearance units still make money here.</t>
  </si>
  <si>
    <t>Student Data!A36:L36</t>
  </si>
  <si>
    <t>No reviews supplied</t>
  </si>
  <si>
    <t>Unproven demand; vendor enthusiasm is not customer evidence.</t>
  </si>
  <si>
    <t>Break-even share assumes the full mandatory purchase sells, with all remaining units cleared at the base clearance price. It excludes operating expenses.</t>
  </si>
  <si>
    <t>The downside is not a worst case: full-price demand falls 30%, and half of the remaining units sell on clearance. Unsold units have zero assumed recovery.</t>
  </si>
  <si>
    <t>Minimum product cost stays tied to the supplier minimum; modeled profit and unsold cost use the editable order quantity.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</si>
</sst>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$0.00,,&quot;m&quot;"/>
    <numFmt numFmtId="166" formatCode="0.0"/>
    <numFmt numFmtId="167" formatCode="$#,##0;($#,##0);&quot;—&quot;"/>
    <numFmt numFmtId="168" formatCode="$#,##0"/>
    <numFmt numFmtId="169" formatCode="$#,##0.00;($#,##0.00);$0.00"/>
    <numFmt numFmtId="170" formatCode="#,##0.0"/>
  </numFmts>
  <fonts count="10">
    <font>
      <sz val="11.0"/>
      <color rgb="FF000000"/>
      <name val="Carlito"/>
      <scheme val="minor"/>
    </font>
    <font>
      <sz val="10.0"/>
      <color theme="1"/>
      <name val="Arial"/>
    </font>
    <font>
      <b/>
      <sz val="15.0"/>
      <color theme="1"/>
      <name val="Arial"/>
    </font>
    <font>
      <sz val="10.0"/>
      <color rgb="FF202124"/>
      <name val="Arial"/>
    </font>
    <font>
      <b/>
      <sz val="10.0"/>
      <color theme="1"/>
      <name val="Arial"/>
    </font>
    <font>
      <b/>
      <sz val="15.0"/>
      <color rgb="FF202124"/>
      <name val="Arial"/>
    </font>
    <font>
      <b/>
      <sz val="10.0"/>
      <color rgb="FF202124"/>
      <name val="Arial"/>
    </font>
    <font>
      <color theme="1"/>
      <name val="Carlito"/>
      <scheme val="minor"/>
    </font>
    <font>
      <b/>
      <color theme="1"/>
      <name val="Carlito"/>
      <scheme val="minor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8EAED"/>
        <bgColor rgb="FFE8EAED"/>
      </patternFill>
    </fill>
    <fill>
      <patternFill patternType="solid">
        <fgColor rgb="FFFFF2CC"/>
        <bgColor rgb="FFFFF2CC"/>
      </patternFill>
    </fill>
    <fill>
      <patternFill patternType="solid">
        <fgColor rgb="FFFFF4CC"/>
        <bgColor rgb="FFFFF4CC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2" fontId="4" numFmtId="0" xfId="0" applyAlignment="1" applyFill="1" applyFont="1">
      <alignment shrinkToFit="0" vertical="center" wrapText="1"/>
    </xf>
    <xf borderId="0" fillId="0" fontId="5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2" fontId="6" numFmtId="0" xfId="0" applyAlignment="1" applyFill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1" numFmtId="9" xfId="0" applyAlignment="1" applyFont="1" applyNumberFormat="1">
      <alignment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3" fontId="3" numFmtId="164" xfId="0" applyAlignment="1" applyFill="1" applyFont="1" applyNumberFormat="1">
      <alignment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Font="1"/>
    <xf borderId="0" fillId="0" fontId="1" numFmtId="165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0"/>
    </xf>
    <xf borderId="0" fillId="3" fontId="3" numFmtId="3" xfId="0" applyAlignment="1" applyFill="1" applyFont="1" applyNumberFormat="1">
      <alignment shrinkToFit="0" vertical="center" wrapText="1"/>
    </xf>
    <xf borderId="0" fillId="0" fontId="3" numFmtId="3" xfId="0" applyAlignment="1" applyFont="1" applyNumberFormat="1">
      <alignment shrinkToFit="0" vertical="center" wrapText="1"/>
    </xf>
    <xf borderId="0" fillId="0" fontId="3" numFmtId="166" xfId="0" applyAlignment="1" applyFont="1" applyNumberFormat="1">
      <alignment shrinkToFit="0" vertical="center" wrapText="0"/>
    </xf>
    <xf borderId="0" fillId="0" fontId="3" numFmtId="3" xfId="0" applyAlignment="1" applyFont="1" applyNumberFormat="1">
      <alignment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4" fontId="1" numFmtId="49" xfId="0" applyAlignment="1" applyFill="1" applyFont="1" applyNumberFormat="1">
      <alignment shrinkToFit="0" vertical="center" wrapText="1"/>
    </xf>
    <xf borderId="0" fillId="0" fontId="5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167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5" fontId="1" numFmtId="0" xfId="0" applyAlignment="1" applyFill="1" applyFont="1">
      <alignment shrinkToFit="0" vertical="center" wrapText="1"/>
    </xf>
    <xf borderId="0" fillId="5" fontId="1" numFmtId="9" xfId="0" applyAlignment="1" applyFill="1" applyFont="1" applyNumberFormat="1">
      <alignment shrinkToFit="0" vertical="center" wrapText="1"/>
    </xf>
    <xf borderId="0" fillId="5" fontId="7" numFmtId="0" xfId="0" applyFill="1" applyFont="1"/>
    <xf borderId="0" fillId="0" fontId="1" numFmtId="3" xfId="0" applyAlignment="1" applyFont="1" applyNumberFormat="1">
      <alignment shrinkToFit="0" vertical="center" wrapText="1"/>
    </xf>
    <xf borderId="0" fillId="0" fontId="1" numFmtId="168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5" fontId="1" numFmtId="3" xfId="0" applyAlignment="1" applyFill="1" applyFont="1" applyNumberFormat="1">
      <alignment shrinkToFit="0" vertical="center" wrapText="1"/>
    </xf>
    <xf borderId="0" fillId="5" fontId="1" numFmtId="168" xfId="0" applyAlignment="1" applyFill="1" applyFont="1" applyNumberFormat="1">
      <alignment shrinkToFit="0" vertical="center" wrapText="1"/>
    </xf>
    <xf borderId="0" fillId="5" fontId="1" numFmtId="164" xfId="0" applyAlignment="1" applyFill="1" applyFont="1" applyNumberForma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2" fontId="8" numFmtId="0" xfId="0" applyAlignment="1" applyFill="1" applyFont="1">
      <alignment readingOrder="0" vertical="center"/>
    </xf>
    <xf borderId="0" fillId="2" fontId="8" numFmtId="0" xfId="0" applyAlignment="1" applyFill="1" applyFont="1">
      <alignment vertical="center"/>
    </xf>
    <xf borderId="0" fillId="0" fontId="3" numFmtId="166" xfId="0" applyAlignment="1" applyFont="1" applyNumberFormat="1">
      <alignment vertical="center"/>
    </xf>
    <xf borderId="0" fillId="0" fontId="3" numFmtId="3" xfId="0" applyAlignment="1" applyFont="1" applyNumberFormat="1">
      <alignment vertical="center"/>
    </xf>
    <xf borderId="0" fillId="0" fontId="3" numFmtId="169" xfId="0" applyAlignment="1" applyFont="1" applyNumberFormat="1">
      <alignment vertical="center"/>
    </xf>
    <xf borderId="0" fillId="0" fontId="1" numFmtId="0" xfId="0" applyAlignment="1" applyFont="1">
      <alignment readingOrder="0" shrinkToFit="0" vertical="center" wrapText="1"/>
    </xf>
    <xf borderId="0" fillId="6" fontId="3" numFmtId="0" xfId="0" applyAlignment="1" applyFill="1" applyFont="1">
      <alignment shrinkToFit="0" vertical="center" wrapText="1"/>
    </xf>
    <xf borderId="0" fillId="6" fontId="3" numFmtId="3" xfId="0" applyAlignment="1" applyFill="1" applyFont="1" applyNumberFormat="1">
      <alignment vertical="center"/>
    </xf>
    <xf borderId="0" fillId="6" fontId="3" numFmtId="167" xfId="0" applyAlignment="1" applyFill="1" applyFont="1" applyNumberFormat="1">
      <alignment vertical="center"/>
    </xf>
    <xf borderId="0" fillId="6" fontId="3" numFmtId="164" xfId="0" applyAlignment="1" applyFill="1" applyFont="1" applyNumberFormat="1">
      <alignment vertical="center"/>
    </xf>
    <xf borderId="0" fillId="6" fontId="3" numFmtId="169" xfId="0" applyAlignment="1" applyFill="1" applyFont="1" applyNumberFormat="1">
      <alignment vertical="center"/>
    </xf>
    <xf borderId="0" fillId="0" fontId="3" numFmtId="170" xfId="0" applyAlignment="1" applyFont="1" applyNumberFormat="1">
      <alignment vertical="center"/>
    </xf>
    <xf borderId="0" fillId="6" fontId="3" numFmtId="0" xfId="0" applyAlignment="1" applyFill="1" applyFont="1">
      <alignment vertical="center"/>
    </xf>
    <xf borderId="0" fillId="6" fontId="9" numFmtId="0" xfId="0" applyAlignment="1" applyFill="1" applyFont="1">
      <alignment shrinkToFit="0" vertical="center" wrapText="1"/>
    </xf>
    <xf borderId="0" fillId="6" fontId="9" numFmtId="3" xfId="0" applyAlignment="1" applyFill="1" applyFont="1" applyNumberFormat="1">
      <alignment vertical="center"/>
    </xf>
    <xf borderId="0" fillId="6" fontId="9" numFmtId="167" xfId="0" applyAlignment="1" applyFill="1" applyFont="1" applyNumberFormat="1">
      <alignment vertical="center"/>
    </xf>
    <xf borderId="0" fillId="6" fontId="9" numFmtId="164" xfId="0" applyAlignment="1" applyFill="1" applyFont="1" applyNumberFormat="1">
      <alignment vertical="center"/>
    </xf>
    <xf borderId="0" fillId="6" fontId="9" numFmtId="169" xfId="0" applyAlignment="1" applyFill="1" applyFont="1" applyNumberFormat="1">
      <alignment vertical="center"/>
    </xf>
    <xf borderId="0" fillId="6" fontId="9" numFmtId="0" xfId="0" applyAlignment="1" applyFill="1" applyFont="1">
      <alignment vertical="center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CD8D8"/>
          <bgColor rgb="FFFCD8D8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EFE8F9"/>
          <bgColor rgb="FFEFE8F9"/>
        </patternFill>
      </fill>
      <border/>
    </dxf>
    <dxf>
      <font/>
      <fill>
        <patternFill patternType="solid">
          <fgColor rgb="FFE2EFFF"/>
          <bgColor rgb="FFE2EFFF"/>
        </patternFill>
      </fill>
      <border/>
    </dxf>
  </dxfs>
  <tableStyles count="1">
    <tableStyle count="4" pivot="0" name="Product decis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M32" displayName="AssortmentDecisions" name="AssortmentDecisions" id="1">
  <tableColumns count="13">
    <tableColumn name="Product" id="1"/>
    <tableColumn name="Current / new" id="2"/>
    <tableColumn name="Balanced" id="3"/>
    <tableColumn name="Required facings" id="4"/>
    <tableColumn name="Why keep, move, remove or pass" id="5"/>
    <tableColumn name="Average stars" id="6"/>
    <tableColumn name="Review count" id="7"/>
    <tableColumn name="Maximum profit" id="8"/>
    <tableColumn name="Lower investment" id="9"/>
    <tableColumn name="Team choice" id="10"/>
    <tableColumn name="Category" id="11"/>
    <tableColumn name="Optimizer tradeoff" id="12"/>
    <tableColumn name="Team rationale" id="13"/>
  </tableColumns>
  <tableStyleInfo name="Product decis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75"/>
    <col customWidth="1" min="2" max="2" width="24.5"/>
    <col customWidth="1" min="3" max="3" width="14.5"/>
    <col customWidth="1" min="4" max="5" width="15.13"/>
    <col customWidth="1" min="6" max="6" width="15.75"/>
  </cols>
  <sheetData>
    <row r="1" ht="24.0" customHeight="1">
      <c r="A1" s="1"/>
      <c r="B1" s="1"/>
      <c r="C1" s="1"/>
      <c r="D1" s="1"/>
      <c r="E1" s="1"/>
      <c r="F1" s="1"/>
    </row>
    <row r="2" ht="24.0" customHeight="1">
      <c r="A2" s="2" t="s">
        <v>0</v>
      </c>
    </row>
    <row r="3" ht="24.0" customHeight="1">
      <c r="A3" s="1"/>
      <c r="B3" s="1"/>
      <c r="C3" s="1"/>
      <c r="D3" s="1"/>
      <c r="E3" s="1"/>
      <c r="F3" s="1"/>
    </row>
    <row r="4" ht="24.0" customHeight="1">
      <c r="A4" s="1" t="s">
        <v>1</v>
      </c>
      <c r="B4" s="1" t="str">
        <f>IF(B8&gt;0,"Pending: "&amp;B8&amp;" products need a team decision",IF(AND('Team summary'!H25="Within limits",'Team summary'!I25="OK",'Team summary'!B45="OK",D8=0),"Ready for presentation review","Review constraints or missing rationale"))</f>
        <v>Review constraints or missing rationale</v>
      </c>
    </row>
    <row r="5" ht="24.0" customHeight="1">
      <c r="A5" s="1"/>
      <c r="B5" s="1"/>
      <c r="C5" s="1"/>
      <c r="D5" s="1"/>
      <c r="E5" s="1"/>
      <c r="F5" s="1"/>
    </row>
    <row r="6" ht="24.0" customHeight="1">
      <c r="A6" s="4" t="s">
        <v>5</v>
      </c>
      <c r="B6" s="4" t="s">
        <v>7</v>
      </c>
      <c r="C6" s="4" t="s">
        <v>10</v>
      </c>
      <c r="D6" s="4" t="s">
        <v>12</v>
      </c>
      <c r="E6" s="4" t="s">
        <v>14</v>
      </c>
      <c r="F6" s="4" t="s">
        <v>17</v>
      </c>
    </row>
    <row r="7" ht="24.0" customHeight="1">
      <c r="A7" s="1" t="s">
        <v>18</v>
      </c>
      <c r="B7" s="1">
        <f>'Team summary'!B25</f>
        <v>13</v>
      </c>
      <c r="C7" s="1" t="s">
        <v>20</v>
      </c>
      <c r="D7" s="1">
        <f>'Team summary'!C25</f>
        <v>16</v>
      </c>
      <c r="E7" s="1" t="s">
        <v>18</v>
      </c>
      <c r="F7" s="1">
        <f>'Team summary'!D25</f>
        <v>4</v>
      </c>
    </row>
    <row r="8" ht="34.5" customHeight="1">
      <c r="A8" s="1" t="s">
        <v>28</v>
      </c>
      <c r="B8" s="1">
        <f>26-(COUNTIFS('Product decisions'!$J$7:$J$32,"In-Store")+COUNTIFS('Product decisions'!$J$7:$J$32,"Online-Only")+COUNTIFS('Product decisions'!$J$7:$J$32,"Removed"))</f>
        <v>0</v>
      </c>
      <c r="C8" s="1" t="s">
        <v>29</v>
      </c>
      <c r="D8" s="1">
        <f>COUNTIFS('Product decisions'!J7:J32,"In-Store",'Product decisions'!M7:M32,"")+COUNTIFS('Product decisions'!J7:J32,"Online-Only",'Product decisions'!M7:M32,"")+COUNTIFS('Product decisions'!J7:J32,"Removed",'Product decisions'!M7:M32,"")</f>
        <v>26</v>
      </c>
      <c r="E8" s="1" t="s">
        <v>34</v>
      </c>
      <c r="F8" s="1">
        <f>IF('Team summary'!E25&gt;0,1,0)+IF('Team summary'!F25&gt;0,1,0)+IF('Team summary'!G25&gt;0,1,0)</f>
        <v>3</v>
      </c>
    </row>
    <row r="9" ht="24.0" customHeight="1">
      <c r="A9" s="1"/>
      <c r="B9" s="1"/>
      <c r="C9" s="1"/>
      <c r="D9" s="1"/>
      <c r="E9" s="1"/>
      <c r="F9" s="1"/>
    </row>
    <row r="10" ht="24.0" customHeight="1">
      <c r="A10" s="1" t="s">
        <v>41</v>
      </c>
    </row>
    <row r="11" ht="48.75" customHeight="1">
      <c r="A11" s="4" t="s">
        <v>43</v>
      </c>
      <c r="B11" s="4" t="s">
        <v>44</v>
      </c>
      <c r="C11" s="4" t="s">
        <v>45</v>
      </c>
      <c r="D11" s="4" t="s">
        <v>47</v>
      </c>
      <c r="E11" s="4" t="s">
        <v>48</v>
      </c>
      <c r="F11" s="4" t="s">
        <v>50</v>
      </c>
    </row>
    <row r="12" ht="48.75" customHeight="1">
      <c r="A12" s="1" t="s">
        <v>31</v>
      </c>
      <c r="B12" s="1" t="s">
        <v>51</v>
      </c>
      <c r="C12" s="15">
        <f>'Team summary'!C7</f>
        <v>15130500</v>
      </c>
      <c r="D12" s="15">
        <f>'Team summary'!F7</f>
        <v>14367431.95</v>
      </c>
      <c r="E12" s="15">
        <f>'Team summary'!F8</f>
        <v>6209304.048</v>
      </c>
      <c r="F12" s="1" t="str">
        <f>'Team summary'!B22&amp;" / "&amp;'Team summary'!D22</f>
        <v>13 / 4</v>
      </c>
    </row>
    <row r="13" ht="48.75" customHeight="1">
      <c r="A13" s="1" t="s">
        <v>38</v>
      </c>
      <c r="B13" s="1" t="s">
        <v>68</v>
      </c>
      <c r="C13" s="15">
        <f>'Team summary'!C10</f>
        <v>27609500</v>
      </c>
      <c r="D13" s="15">
        <f>'Team summary'!F10</f>
        <v>22227912.45</v>
      </c>
      <c r="E13" s="15">
        <f>'Team summary'!F11</f>
        <v>9060568.073</v>
      </c>
      <c r="F13" s="1" t="str">
        <f>'Team summary'!B23&amp;" / "&amp;'Team summary'!D23</f>
        <v>11 / 4</v>
      </c>
    </row>
    <row r="14" ht="48.75" customHeight="1">
      <c r="A14" s="1" t="s">
        <v>39</v>
      </c>
      <c r="B14" s="1" t="s">
        <v>73</v>
      </c>
      <c r="C14" s="15">
        <f>'Team summary'!C13</f>
        <v>12124500</v>
      </c>
      <c r="D14" s="15">
        <f>'Team summary'!F13</f>
        <v>13118779.45</v>
      </c>
      <c r="E14" s="15">
        <f>'Team summary'!F14</f>
        <v>6321193.923</v>
      </c>
      <c r="F14" s="1" t="str">
        <f>'Team summary'!B24&amp;" / "&amp;'Team summary'!D24</f>
        <v>12 / 3</v>
      </c>
    </row>
    <row r="15" ht="48.75" customHeight="1">
      <c r="A15" s="1" t="s">
        <v>40</v>
      </c>
      <c r="B15" s="1" t="s">
        <v>76</v>
      </c>
      <c r="C15" s="15">
        <f>IF(B8&gt;0,"Pending",'Team summary'!C16)</f>
        <v>13804500</v>
      </c>
      <c r="D15" s="15">
        <f>IF(B8&gt;0,"Pending",'Team summary'!F16)</f>
        <v>13899146.95</v>
      </c>
      <c r="E15" s="15">
        <f>IF(B8&gt;0,"Pending",'Team summary'!F17)</f>
        <v>6233204.798</v>
      </c>
      <c r="F15" s="1" t="str">
        <f>'Team summary'!B25&amp;" / "&amp;'Team summary'!D25</f>
        <v>13 / 4</v>
      </c>
    </row>
    <row r="16" ht="24.0" customHeight="1">
      <c r="A16" s="1"/>
      <c r="B16" s="1"/>
      <c r="C16" s="1"/>
      <c r="D16" s="1"/>
      <c r="E16" s="1"/>
      <c r="F16" s="1"/>
    </row>
    <row r="17" ht="34.5" customHeight="1">
      <c r="A17" s="1" t="s">
        <v>90</v>
      </c>
    </row>
    <row r="18" ht="24.0" customHeight="1">
      <c r="A18" s="1"/>
      <c r="B18" s="1"/>
      <c r="C18" s="1"/>
      <c r="D18" s="1"/>
      <c r="E18" s="1"/>
      <c r="F18" s="1"/>
    </row>
    <row r="19" ht="24.0" customHeight="1">
      <c r="A19" s="1" t="s">
        <v>92</v>
      </c>
    </row>
    <row r="20" ht="24.0" customHeight="1">
      <c r="A20" s="1" t="s">
        <v>94</v>
      </c>
    </row>
    <row r="21" ht="24.0" customHeight="1">
      <c r="A21" s="1" t="s">
        <v>95</v>
      </c>
    </row>
    <row r="22" ht="24.0" customHeight="1">
      <c r="A22" s="1" t="s">
        <v>97</v>
      </c>
    </row>
    <row r="23" ht="24.0" customHeight="1">
      <c r="A23" s="1"/>
      <c r="B23" s="1"/>
      <c r="C23" s="1"/>
      <c r="D23" s="1"/>
      <c r="E23" s="1"/>
      <c r="F23" s="1"/>
    </row>
    <row r="24" ht="24.0" customHeight="1">
      <c r="A24" s="4" t="s">
        <v>99</v>
      </c>
      <c r="B24" s="4" t="s">
        <v>100</v>
      </c>
    </row>
    <row r="25" ht="52.5" customHeight="1">
      <c r="A25" s="1" t="s">
        <v>101</v>
      </c>
      <c r="B25" s="1" t="s">
        <v>103</v>
      </c>
    </row>
    <row r="26" ht="52.5" customHeight="1">
      <c r="A26" s="1" t="s">
        <v>104</v>
      </c>
      <c r="B26" s="1" t="s">
        <v>105</v>
      </c>
    </row>
    <row r="27" ht="52.5" customHeight="1">
      <c r="A27" s="1" t="s">
        <v>107</v>
      </c>
      <c r="B27" s="1" t="s">
        <v>108</v>
      </c>
    </row>
    <row r="28" ht="52.5" customHeight="1">
      <c r="A28" s="1" t="s">
        <v>109</v>
      </c>
      <c r="B28" s="1" t="s">
        <v>110</v>
      </c>
    </row>
    <row r="29" ht="52.5" customHeight="1">
      <c r="A29" s="1" t="s">
        <v>112</v>
      </c>
      <c r="B29" s="1" t="s">
        <v>113</v>
      </c>
    </row>
    <row r="30" ht="24.0" customHeight="1">
      <c r="A30" s="1"/>
      <c r="B30" s="1"/>
      <c r="C30" s="1"/>
      <c r="D30" s="1"/>
      <c r="E30" s="1"/>
      <c r="F30" s="1"/>
    </row>
    <row r="31" ht="24.0" customHeight="1">
      <c r="A31" s="4" t="s">
        <v>115</v>
      </c>
      <c r="B31" s="4" t="s">
        <v>116</v>
      </c>
    </row>
    <row r="32" ht="43.5" customHeight="1">
      <c r="A32" s="1" t="s">
        <v>117</v>
      </c>
      <c r="B32" s="1" t="s">
        <v>119</v>
      </c>
    </row>
    <row r="33" ht="43.5" customHeight="1">
      <c r="A33" s="1" t="s">
        <v>120</v>
      </c>
      <c r="B33" s="1" t="s">
        <v>121</v>
      </c>
    </row>
    <row r="34" ht="43.5" customHeight="1">
      <c r="A34" s="1" t="s">
        <v>122</v>
      </c>
      <c r="B34" s="1" t="s">
        <v>124</v>
      </c>
    </row>
    <row r="35" ht="43.5" customHeight="1">
      <c r="A35" s="1" t="s">
        <v>125</v>
      </c>
      <c r="B35" s="1" t="s">
        <v>126</v>
      </c>
    </row>
    <row r="36" ht="24.0" customHeight="1">
      <c r="A36" s="1"/>
      <c r="B36" s="1"/>
      <c r="C36" s="1"/>
      <c r="D36" s="1"/>
      <c r="E36" s="1"/>
      <c r="F36" s="1"/>
    </row>
    <row r="37" ht="24.0" customHeight="1">
      <c r="A37" s="1"/>
      <c r="B37" s="1"/>
      <c r="C37" s="1"/>
      <c r="D37" s="1"/>
      <c r="E37" s="1"/>
      <c r="F37" s="1"/>
    </row>
    <row r="38" ht="24.0" customHeight="1">
      <c r="A38" s="1"/>
      <c r="B38" s="1"/>
      <c r="C38" s="1"/>
      <c r="D38" s="1"/>
      <c r="E38" s="1"/>
      <c r="F38" s="1"/>
    </row>
  </sheetData>
  <mergeCells count="19">
    <mergeCell ref="A2:F2"/>
    <mergeCell ref="B4:F4"/>
    <mergeCell ref="A10:F10"/>
    <mergeCell ref="A17:F17"/>
    <mergeCell ref="A19:F19"/>
    <mergeCell ref="A20:F20"/>
    <mergeCell ref="A21:F21"/>
    <mergeCell ref="B31:F31"/>
    <mergeCell ref="B32:F32"/>
    <mergeCell ref="B33:F33"/>
    <mergeCell ref="B34:F34"/>
    <mergeCell ref="B35:F35"/>
    <mergeCell ref="A22:F22"/>
    <mergeCell ref="B24:F24"/>
    <mergeCell ref="B25:F25"/>
    <mergeCell ref="B26:F26"/>
    <mergeCell ref="B27:F27"/>
    <mergeCell ref="B28:F28"/>
    <mergeCell ref="B29:F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4.5"/>
    <col customWidth="1" hidden="1" min="2" max="2" width="12.38"/>
    <col customWidth="1" min="3" max="3" width="13.88"/>
    <col customWidth="1" min="4" max="4" width="15.13"/>
    <col customWidth="1" hidden="1" min="5" max="5" width="60.13"/>
    <col customWidth="1" hidden="1" min="6" max="7" width="12.0"/>
    <col customWidth="1" min="8" max="8" width="15.13"/>
    <col customWidth="1" min="9" max="9" width="17.0"/>
    <col customWidth="1" min="10" max="10" width="14.5"/>
    <col customWidth="1" hidden="1" min="11" max="11" width="24.0"/>
    <col customWidth="1" hidden="1" min="12" max="12" width="50.0"/>
    <col customWidth="1" min="13" max="13" width="22.63"/>
    <col customWidth="1" hidden="1" min="14" max="26" width="8.63"/>
  </cols>
  <sheetData>
    <row r="1" ht="24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24.0" customHeight="1">
      <c r="A2" s="5" t="s">
        <v>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24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48.75" customHeight="1">
      <c r="A4" s="7" t="s">
        <v>21</v>
      </c>
    </row>
    <row r="5" ht="24.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37.5" customHeight="1">
      <c r="A6" s="11" t="s">
        <v>26</v>
      </c>
      <c r="B6" s="11" t="s">
        <v>30</v>
      </c>
      <c r="C6" s="11" t="s">
        <v>31</v>
      </c>
      <c r="D6" s="11" t="s">
        <v>32</v>
      </c>
      <c r="E6" s="11" t="s">
        <v>33</v>
      </c>
      <c r="F6" s="11" t="s">
        <v>35</v>
      </c>
      <c r="G6" s="11" t="s">
        <v>36</v>
      </c>
      <c r="H6" s="11" t="s">
        <v>38</v>
      </c>
      <c r="I6" s="11" t="s">
        <v>39</v>
      </c>
      <c r="J6" s="11" t="s">
        <v>40</v>
      </c>
      <c r="K6" s="11" t="s">
        <v>42</v>
      </c>
      <c r="L6" s="11" t="s">
        <v>46</v>
      </c>
      <c r="M6" s="13" t="s">
        <v>49</v>
      </c>
      <c r="O6" s="14" t="s">
        <v>40</v>
      </c>
    </row>
    <row r="7" ht="42.0" customHeight="1">
      <c r="A7" s="16" t="s">
        <v>54</v>
      </c>
      <c r="B7" s="17" t="s">
        <v>55</v>
      </c>
      <c r="C7" s="17" t="s">
        <v>56</v>
      </c>
      <c r="D7" s="17">
        <f>VLOOKUP(A7,'Source data'!$A$7:$D$32,4,FALSE)</f>
        <v>3</v>
      </c>
      <c r="E7" s="16" t="str">
        <f>"KEEP: proven centerpiece. $6.62m historical gross profit; 95% full-price sell-through. Three facings earn strong profit. 4.5 stars from 1,200 reviews. Traffic-building value is not captured in the optimizer."&amp;" Historical unit mix: "&amp;TEXT(VLOOKUP(A7,'Channel evidence'!$A$7:$E$32,4,FALSE),"0%")&amp;" store / "&amp;TEXT(VLOOKUP(A7,'Channel evidence'!$A$7:$E$32,5,FALSE),"0%")&amp;" online."</f>
        <v>KEEP: proven centerpiece. $6.62m historical gross profit; 95% full-price sell-through. Three facings earn strong profit. 4.5 stars from 1,200 reviews. Traffic-building value is not captured in the optimizer. Historical unit mix: 45% store / 55% online.</v>
      </c>
      <c r="F7" s="20">
        <v>4.5</v>
      </c>
      <c r="G7" s="21">
        <v>1200.0</v>
      </c>
      <c r="H7" s="17" t="s">
        <v>80</v>
      </c>
      <c r="I7" s="17" t="s">
        <v>80</v>
      </c>
      <c r="J7" s="22" t="s">
        <v>56</v>
      </c>
      <c r="K7" s="16" t="s">
        <v>87</v>
      </c>
      <c r="L7" s="16" t="s">
        <v>89</v>
      </c>
      <c r="M7" s="23"/>
    </row>
    <row r="8" ht="42.0" customHeight="1">
      <c r="A8" s="16" t="s">
        <v>74</v>
      </c>
      <c r="B8" s="17" t="s">
        <v>55</v>
      </c>
      <c r="C8" s="17" t="s">
        <v>80</v>
      </c>
      <c r="D8" s="17">
        <f>VLOOKUP(A8,'Source data'!$A$7:$D$32,4,FALSE)</f>
        <v>2</v>
      </c>
      <c r="E8" s="16" t="str">
        <f>"MOVE ONLINE: 70% of units sold online; frees two facings. Only 60% full-price sell-through. Reduce future buying exposure if supplier terms allow; the model keeps last season’s quantity for comparability."&amp;" Historical unit mix: "&amp;TEXT(VLOOKUP(A8,'Channel evidence'!$A$7:$E$32,4,FALSE),"0%")&amp;" store / "&amp;TEXT(VLOOKUP(A8,'Channel evidence'!$A$7:$E$32,5,FALSE),"0%")&amp;" online."</f>
        <v>MOVE ONLINE: 70% of units sold online; frees two facings. Only 60% full-price sell-through. Reduce future buying exposure if supplier terms allow; the model keeps last season’s quantity for comparability. Historical unit mix: 30% store / 70% online.</v>
      </c>
      <c r="F8" s="20">
        <v>4.3</v>
      </c>
      <c r="G8" s="21">
        <v>95.0</v>
      </c>
      <c r="H8" s="17" t="s">
        <v>80</v>
      </c>
      <c r="I8" s="17" t="s">
        <v>140</v>
      </c>
      <c r="J8" s="22" t="s">
        <v>80</v>
      </c>
      <c r="K8" s="16" t="s">
        <v>87</v>
      </c>
      <c r="L8" s="16" t="s">
        <v>141</v>
      </c>
      <c r="M8" s="23"/>
    </row>
    <row r="9" ht="42.0" customHeight="1">
      <c r="A9" s="16" t="s">
        <v>75</v>
      </c>
      <c r="B9" s="17" t="s">
        <v>55</v>
      </c>
      <c r="C9" s="17" t="s">
        <v>56</v>
      </c>
      <c r="D9" s="17">
        <f>VLOOKUP(A9,'Source data'!$A$7:$D$32,4,FALSE)</f>
        <v>1</v>
      </c>
      <c r="E9" s="16" t="str">
        <f>"KEEP: $1.81m historical gross profit from one facing; 85% full-price sell-through. 4.6 stars from 265 reviews. Strong use of limited store space."&amp;" Historical unit mix: "&amp;TEXT(VLOOKUP(A9,'Channel evidence'!$A$7:$E$32,4,FALSE),"0%")&amp;" store / "&amp;TEXT(VLOOKUP(A9,'Channel evidence'!$A$7:$E$32,5,FALSE),"0%")&amp;" online."</f>
        <v>KEEP: $1.81m historical gross profit from one facing; 85% full-price sell-through. 4.6 stars from 265 reviews. Strong use of limited store space. Historical unit mix: 50% store / 50% online.</v>
      </c>
      <c r="F9" s="20">
        <v>4.6</v>
      </c>
      <c r="G9" s="21">
        <v>265.0</v>
      </c>
      <c r="H9" s="17" t="s">
        <v>56</v>
      </c>
      <c r="I9" s="17" t="s">
        <v>56</v>
      </c>
      <c r="J9" s="22" t="s">
        <v>56</v>
      </c>
      <c r="K9" s="16" t="s">
        <v>87</v>
      </c>
      <c r="L9" s="16" t="s">
        <v>154</v>
      </c>
      <c r="M9" s="23"/>
    </row>
    <row r="10" ht="42.0" customHeight="1">
      <c r="A10" s="16" t="s">
        <v>77</v>
      </c>
      <c r="B10" s="17" t="s">
        <v>55</v>
      </c>
      <c r="C10" s="17" t="s">
        <v>56</v>
      </c>
      <c r="D10" s="17">
        <f>VLOOKUP(A10,'Source data'!$A$7:$D$32,4,FALSE)</f>
        <v>1</v>
      </c>
      <c r="E10" s="16" t="str">
        <f>"KEEP: $129 middle price point, 63.8% realized margin and $1.04m historical gross profit. 4.1 stars from 100 reviews warrant investigating quality feedback."&amp;" Historical unit mix: "&amp;TEXT(VLOOKUP(A10,'Channel evidence'!$A$7:$E$32,4,FALSE),"0%")&amp;" store / "&amp;TEXT(VLOOKUP(A10,'Channel evidence'!$A$7:$E$32,5,FALSE),"0%")&amp;" online."</f>
        <v>KEEP: $129 middle price point, 63.8% realized margin and $1.04m historical gross profit. 4.1 stars from 100 reviews warrant investigating quality feedback. Historical unit mix: 55% store / 45% online.</v>
      </c>
      <c r="F10" s="20">
        <v>4.1</v>
      </c>
      <c r="G10" s="21">
        <v>100.0</v>
      </c>
      <c r="H10" s="17" t="s">
        <v>56</v>
      </c>
      <c r="I10" s="17" t="s">
        <v>56</v>
      </c>
      <c r="J10" s="22" t="s">
        <v>56</v>
      </c>
      <c r="K10" s="16" t="s">
        <v>87</v>
      </c>
      <c r="L10" s="16" t="s">
        <v>154</v>
      </c>
      <c r="M10" s="23"/>
    </row>
    <row r="11" ht="42.0" customHeight="1">
      <c r="A11" s="16" t="s">
        <v>78</v>
      </c>
      <c r="B11" s="17" t="s">
        <v>55</v>
      </c>
      <c r="C11" s="17" t="s">
        <v>140</v>
      </c>
      <c r="D11" s="17">
        <f>VLOOKUP(A11,'Source data'!$A$7:$D$32,4,FALSE)</f>
        <v>2</v>
      </c>
      <c r="E11" s="16" t="str">
        <f>"REMOVE: two facings generated only $46,600 gross profit, a 4.2% margin. Cost $132 against $149 retail leaves little clearance cushion. 4.8 stars from 220 reviews do not overcome weak economics."&amp;" Historical unit mix: "&amp;TEXT(VLOOKUP(A11,'Channel evidence'!$A$7:$E$32,4,FALSE),"0%")&amp;" store / "&amp;TEXT(VLOOKUP(A11,'Channel evidence'!$A$7:$E$32,5,FALSE),"0%")&amp;" online."</f>
        <v>REMOVE: two facings generated only $46,600 gross profit, a 4.2% margin. Cost $132 against $149 retail leaves little clearance cushion. 4.8 stars from 220 reviews do not overcome weak economics. Historical unit mix: 40% store / 60% online.</v>
      </c>
      <c r="F11" s="20">
        <v>4.8</v>
      </c>
      <c r="G11" s="21">
        <v>220.0</v>
      </c>
      <c r="H11" s="17" t="s">
        <v>140</v>
      </c>
      <c r="I11" s="17" t="s">
        <v>140</v>
      </c>
      <c r="J11" s="22" t="s">
        <v>140</v>
      </c>
      <c r="K11" s="16" t="s">
        <v>158</v>
      </c>
      <c r="L11" s="16" t="s">
        <v>154</v>
      </c>
      <c r="M11" s="23"/>
    </row>
    <row r="12" ht="42.0" customHeight="1">
      <c r="A12" s="16" t="s">
        <v>79</v>
      </c>
      <c r="B12" s="17" t="s">
        <v>55</v>
      </c>
      <c r="C12" s="17" t="s">
        <v>56</v>
      </c>
      <c r="D12" s="17">
        <f>VLOOKUP(A12,'Source data'!$A$7:$D$32,4,FALSE)</f>
        <v>1</v>
      </c>
      <c r="E12" s="16" t="str">
        <f>"KEEP: licensed variety in one facing, 80% full-price sell-through and $410,500 gross profit. 4.7 stars from 205 reviews. A deliberate variety choice; 65% online unit share makes channel placement debatable."&amp;" Historical unit mix: "&amp;TEXT(VLOOKUP(A12,'Channel evidence'!$A$7:$E$32,4,FALSE),"0%")&amp;" store / "&amp;TEXT(VLOOKUP(A12,'Channel evidence'!$A$7:$E$32,5,FALSE),"0%")&amp;" online."</f>
        <v>KEEP: licensed variety in one facing, 80% full-price sell-through and $410,500 gross profit. 4.7 stars from 205 reviews. A deliberate variety choice; 65% online unit share makes channel placement debatable. Historical unit mix: 35% store / 65% online.</v>
      </c>
      <c r="F12" s="20">
        <v>4.7</v>
      </c>
      <c r="G12" s="21">
        <v>205.0</v>
      </c>
      <c r="H12" s="17" t="s">
        <v>140</v>
      </c>
      <c r="I12" s="17" t="s">
        <v>140</v>
      </c>
      <c r="J12" s="22" t="s">
        <v>56</v>
      </c>
      <c r="K12" s="16" t="s">
        <v>158</v>
      </c>
      <c r="L12" s="16" t="s">
        <v>160</v>
      </c>
      <c r="M12" s="23"/>
    </row>
    <row r="13" ht="42.0" customHeight="1">
      <c r="A13" s="16" t="s">
        <v>81</v>
      </c>
      <c r="B13" s="17" t="s">
        <v>55</v>
      </c>
      <c r="C13" s="17" t="s">
        <v>140</v>
      </c>
      <c r="D13" s="17">
        <f>VLOOKUP(A13,'Source data'!$A$7:$D$32,4,FALSE)</f>
        <v>1</v>
      </c>
      <c r="E13" s="16" t="str">
        <f>"REMOVE: only $13,500 gross profit, a 2.5% margin, with half the purchase on clearance. 4.8 stars from 75 reviews suggest satisfaction but do not establish adequate full-price demand."&amp;" Historical unit mix: "&amp;TEXT(VLOOKUP(A13,'Channel evidence'!$A$7:$E$32,4,FALSE),"0%")&amp;" store / "&amp;TEXT(VLOOKUP(A13,'Channel evidence'!$A$7:$E$32,5,FALSE),"0%")&amp;" online."</f>
        <v>REMOVE: only $13,500 gross profit, a 2.5% margin, with half the purchase on clearance. 4.8 stars from 75 reviews suggest satisfaction but do not establish adequate full-price demand. Historical unit mix: 45% store / 55% online.</v>
      </c>
      <c r="F13" s="20">
        <v>4.8</v>
      </c>
      <c r="G13" s="21">
        <v>75.0</v>
      </c>
      <c r="H13" s="17" t="s">
        <v>140</v>
      </c>
      <c r="I13" s="17" t="s">
        <v>140</v>
      </c>
      <c r="J13" s="22" t="s">
        <v>140</v>
      </c>
      <c r="K13" s="16" t="s">
        <v>158</v>
      </c>
      <c r="L13" s="16" t="s">
        <v>154</v>
      </c>
      <c r="M13" s="23"/>
    </row>
    <row r="14" ht="42.0" customHeight="1">
      <c r="A14" s="16" t="s">
        <v>82</v>
      </c>
      <c r="B14" s="17" t="s">
        <v>55</v>
      </c>
      <c r="C14" s="17" t="s">
        <v>56</v>
      </c>
      <c r="D14" s="17">
        <f>VLOOKUP(A14,'Source data'!$A$7:$D$32,4,FALSE)</f>
        <v>1</v>
      </c>
      <c r="E14" s="16" t="str">
        <f>"KEEP: accessible $59 inflatable, 85% full-price sell-through, 65% store unit share. 4.6 stars from 60 reviews. Preserves an affordable inflatable price point."&amp;" Historical unit mix: "&amp;TEXT(VLOOKUP(A14,'Channel evidence'!$A$7:$E$32,4,FALSE),"0%")&amp;" store / "&amp;TEXT(VLOOKUP(A14,'Channel evidence'!$A$7:$E$32,5,FALSE),"0%")&amp;" online."</f>
        <v>KEEP: accessible $59 inflatable, 85% full-price sell-through, 65% store unit share. 4.6 stars from 60 reviews. Preserves an affordable inflatable price point. Historical unit mix: 65% store / 35% online.</v>
      </c>
      <c r="F14" s="20">
        <v>4.6</v>
      </c>
      <c r="G14" s="21">
        <v>60.0</v>
      </c>
      <c r="H14" s="17" t="s">
        <v>140</v>
      </c>
      <c r="I14" s="17" t="s">
        <v>140</v>
      </c>
      <c r="J14" s="22" t="s">
        <v>56</v>
      </c>
      <c r="K14" s="16" t="s">
        <v>158</v>
      </c>
      <c r="L14" s="16" t="s">
        <v>160</v>
      </c>
      <c r="M14" s="23"/>
    </row>
    <row r="15" ht="42.0" customHeight="1">
      <c r="A15" s="16" t="s">
        <v>83</v>
      </c>
      <c r="B15" s="17" t="s">
        <v>55</v>
      </c>
      <c r="C15" s="17" t="s">
        <v>56</v>
      </c>
      <c r="D15" s="17">
        <f>VLOOKUP(A15,'Source data'!$A$7:$D$32,4,FALSE)</f>
        <v>1</v>
      </c>
      <c r="E15" s="16" t="str">
        <f>"KEEP: $24.98 entry price and 81.1% realized margin. $546,960 gross profit. Five-star average has only six reviews; do not treat it as definitive evidence of superior quality."&amp;" Historical unit mix: "&amp;TEXT(VLOOKUP(A15,'Channel evidence'!$A$7:$E$32,4,FALSE),"0%")&amp;" store / "&amp;TEXT(VLOOKUP(A15,'Channel evidence'!$A$7:$E$32,5,FALSE),"0%")&amp;" online."</f>
        <v>KEEP: $24.98 entry price and 81.1% realized margin. $546,960 gross profit. Five-star average has only six reviews; do not treat it as definitive evidence of superior quality. Historical unit mix: 70% store / 30% online.</v>
      </c>
      <c r="F15" s="20">
        <v>5.0</v>
      </c>
      <c r="G15" s="21">
        <v>6.0</v>
      </c>
      <c r="H15" s="17" t="s">
        <v>56</v>
      </c>
      <c r="I15" s="17" t="s">
        <v>56</v>
      </c>
      <c r="J15" s="22" t="s">
        <v>56</v>
      </c>
      <c r="K15" s="16" t="s">
        <v>169</v>
      </c>
      <c r="L15" s="16" t="s">
        <v>154</v>
      </c>
      <c r="M15" s="23"/>
    </row>
    <row r="16" ht="42.0" customHeight="1">
      <c r="A16" s="16" t="s">
        <v>85</v>
      </c>
      <c r="B16" s="17" t="s">
        <v>55</v>
      </c>
      <c r="C16" s="17" t="s">
        <v>56</v>
      </c>
      <c r="D16" s="17">
        <f>VLOOKUP(A16,'Source data'!$A$7:$D$32,4,FALSE)</f>
        <v>1</v>
      </c>
      <c r="E16" s="16" t="str">
        <f>"KEEP: $574,700 gross profit and 61.2% realized margin from one facing. 4.8 stars is based on only 10 reviews. Economics are more persuasive than the small rating sample."&amp;" Historical unit mix: "&amp;TEXT(VLOOKUP(A16,'Channel evidence'!$A$7:$E$32,4,FALSE),"0%")&amp;" store / "&amp;TEXT(VLOOKUP(A16,'Channel evidence'!$A$7:$E$32,5,FALSE),"0%")&amp;" online."</f>
        <v>KEEP: $574,700 gross profit and 61.2% realized margin from one facing. 4.8 stars is based on only 10 reviews. Economics are more persuasive than the small rating sample. Historical unit mix: 45% store / 55% online.</v>
      </c>
      <c r="F16" s="20">
        <v>4.8</v>
      </c>
      <c r="G16" s="21">
        <v>10.0</v>
      </c>
      <c r="H16" s="17" t="s">
        <v>56</v>
      </c>
      <c r="I16" s="34" t="s">
        <v>56</v>
      </c>
      <c r="J16" s="22" t="s">
        <v>56</v>
      </c>
      <c r="K16" s="16" t="s">
        <v>169</v>
      </c>
      <c r="L16" s="35" t="s">
        <v>154</v>
      </c>
      <c r="M16" s="23"/>
    </row>
    <row r="17" ht="42.0" customHeight="1">
      <c r="A17" s="16" t="s">
        <v>86</v>
      </c>
      <c r="B17" s="17" t="s">
        <v>55</v>
      </c>
      <c r="C17" s="17" t="s">
        <v>140</v>
      </c>
      <c r="D17" s="17">
        <f>VLOOKUP(A17,'Source data'!$A$7:$D$32,4,FALSE)</f>
        <v>1</v>
      </c>
      <c r="E17" s="16" t="str">
        <f>"REMOVE: 17,000 of 25,000 units sold on clearance. Only 32% full-price sell-through; $48,500 profit on $925,000 product cost. Cost was recovered, but little profit remained. 4.2 stars from 3,400 reviews."&amp;" Historical unit mix: "&amp;TEXT(VLOOKUP(A17,'Channel evidence'!$A$7:$E$32,4,FALSE),"0%")&amp;" store / "&amp;TEXT(VLOOKUP(A17,'Channel evidence'!$A$7:$E$32,5,FALSE),"0%")&amp;" online."</f>
        <v>REMOVE: 17,000 of 25,000 units sold on clearance. Only 32% full-price sell-through; $48,500 profit on $925,000 product cost. Cost was recovered, but little profit remained. 4.2 stars from 3,400 reviews. Historical unit mix: 60% store / 40% online.</v>
      </c>
      <c r="F17" s="20">
        <v>4.2</v>
      </c>
      <c r="G17" s="21">
        <v>3400.0</v>
      </c>
      <c r="H17" s="17" t="s">
        <v>140</v>
      </c>
      <c r="I17" s="17" t="s">
        <v>140</v>
      </c>
      <c r="J17" s="22" t="s">
        <v>140</v>
      </c>
      <c r="K17" s="16" t="s">
        <v>169</v>
      </c>
      <c r="L17" s="16" t="s">
        <v>154</v>
      </c>
      <c r="M17" s="23"/>
    </row>
    <row r="18" ht="42.0" customHeight="1">
      <c r="A18" s="16" t="s">
        <v>88</v>
      </c>
      <c r="B18" s="17" t="s">
        <v>55</v>
      </c>
      <c r="C18" s="17" t="s">
        <v>56</v>
      </c>
      <c r="D18" s="17">
        <f>VLOOKUP(A18,'Source data'!$A$7:$D$32,4,FALSE)</f>
        <v>1</v>
      </c>
      <c r="E18" s="16" t="str">
        <f>"KEEP: 85% full-price sell-through, 62.9% realized margin and 70% store unit share. 4.4 stars from 480 reviews. Practical complementary purchase."&amp;" Historical unit mix: "&amp;TEXT(VLOOKUP(A18,'Channel evidence'!$A$7:$E$32,4,FALSE),"0%")&amp;" store / "&amp;TEXT(VLOOKUP(A18,'Channel evidence'!$A$7:$E$32,5,FALSE),"0%")&amp;" online."</f>
        <v>KEEP: 85% full-price sell-through, 62.9% realized margin and 70% store unit share. 4.4 stars from 480 reviews. Practical complementary purchase. Historical unit mix: 70% store / 30% online.</v>
      </c>
      <c r="F18" s="20">
        <v>4.4</v>
      </c>
      <c r="G18" s="21">
        <v>480.0</v>
      </c>
      <c r="H18" s="17" t="s">
        <v>56</v>
      </c>
      <c r="I18" s="17" t="s">
        <v>56</v>
      </c>
      <c r="J18" s="22" t="s">
        <v>56</v>
      </c>
      <c r="K18" s="16" t="s">
        <v>169</v>
      </c>
      <c r="L18" s="16" t="s">
        <v>154</v>
      </c>
      <c r="M18" s="23"/>
    </row>
    <row r="19" ht="42.0" customHeight="1">
      <c r="A19" s="16" t="s">
        <v>91</v>
      </c>
      <c r="B19" s="17" t="s">
        <v>55</v>
      </c>
      <c r="C19" s="17" t="s">
        <v>80</v>
      </c>
      <c r="D19" s="17">
        <f>VLOOKUP(A19,'Source data'!$A$7:$D$32,4,FALSE)</f>
        <v>3</v>
      </c>
      <c r="E19" s="16" t="str">
        <f>"KEEP ONLINE: proven online sales, 85% full-price sell-through and $534,450 gross profit. Avoids three store facings. 4.6 stars from 340 reviews."&amp;" Historical unit mix: "&amp;TEXT(VLOOKUP(A19,'Channel evidence'!$A$7:$E$32,4,FALSE),"0%")&amp;" store / "&amp;TEXT(VLOOKUP(A19,'Channel evidence'!$A$7:$E$32,5,FALSE),"0%")&amp;" online."</f>
        <v>KEEP ONLINE: proven online sales, 85% full-price sell-through and $534,450 gross profit. Avoids three store facings. 4.6 stars from 340 reviews. Historical unit mix: 0% store / 100% online.</v>
      </c>
      <c r="F19" s="20">
        <v>4.6</v>
      </c>
      <c r="G19" s="21">
        <v>340.0</v>
      </c>
      <c r="H19" s="17" t="s">
        <v>80</v>
      </c>
      <c r="I19" s="17" t="s">
        <v>56</v>
      </c>
      <c r="J19" s="22" t="s">
        <v>80</v>
      </c>
      <c r="K19" s="16" t="s">
        <v>158</v>
      </c>
      <c r="L19" s="16" t="s">
        <v>183</v>
      </c>
      <c r="M19" s="23"/>
    </row>
    <row r="20" ht="42.0" customHeight="1">
      <c r="A20" s="16" t="s">
        <v>93</v>
      </c>
      <c r="B20" s="17" t="s">
        <v>55</v>
      </c>
      <c r="C20" s="17" t="s">
        <v>80</v>
      </c>
      <c r="D20" s="17">
        <f>VLOOKUP(A20,'Source data'!$A$7:$D$32,4,FALSE)</f>
        <v>2</v>
      </c>
      <c r="E20" s="16" t="str">
        <f>"KEEP ONLINE: 90% full-price sell-through, $916,200 gross profit and 60.4% realized margin. 4.7 stars from 210 reviews. Avoids two facings."&amp;" Historical unit mix: "&amp;TEXT(VLOOKUP(A20,'Channel evidence'!$A$7:$E$32,4,FALSE),"0%")&amp;" store / "&amp;TEXT(VLOOKUP(A20,'Channel evidence'!$A$7:$E$32,5,FALSE),"0%")&amp;" online."</f>
        <v>KEEP ONLINE: 90% full-price sell-through, $916,200 gross profit and 60.4% realized margin. 4.7 stars from 210 reviews. Avoids two facings. Historical unit mix: 0% store / 100% online.</v>
      </c>
      <c r="F20" s="20">
        <v>4.7</v>
      </c>
      <c r="G20" s="21">
        <v>210.0</v>
      </c>
      <c r="H20" s="17" t="s">
        <v>80</v>
      </c>
      <c r="I20" s="17" t="s">
        <v>80</v>
      </c>
      <c r="J20" s="22" t="s">
        <v>80</v>
      </c>
      <c r="K20" s="16" t="s">
        <v>87</v>
      </c>
      <c r="L20" s="16" t="s">
        <v>154</v>
      </c>
      <c r="M20" s="23"/>
    </row>
    <row r="21" ht="42.0" customHeight="1">
      <c r="A21" s="16" t="s">
        <v>96</v>
      </c>
      <c r="B21" s="17" t="s">
        <v>55</v>
      </c>
      <c r="C21" s="17" t="s">
        <v>140</v>
      </c>
      <c r="D21" s="17">
        <f>VLOOKUP(A21,'Source data'!$A$7:$D$32,4,FALSE)</f>
        <v>1</v>
      </c>
      <c r="E21" s="16" t="str">
        <f>"REMOVE FOR CAPACITY: healthy 58.9% margin, 85% full-price sell-through and 4.5 stars from 180 reviews. Its $215,375 gross profit loses the four-slot online competition. Not a loss-making product."&amp;" Historical unit mix: "&amp;TEXT(VLOOKUP(A21,'Channel evidence'!$A$7:$E$32,4,FALSE),"0%")&amp;" store / "&amp;TEXT(VLOOKUP(A21,'Channel evidence'!$A$7:$E$32,5,FALSE),"0%")&amp;" online."</f>
        <v>REMOVE FOR CAPACITY: healthy 58.9% margin, 85% full-price sell-through and 4.5 stars from 180 reviews. Its $215,375 gross profit loses the four-slot online competition. Not a loss-making product. Historical unit mix: 0% store / 100% online.</v>
      </c>
      <c r="F21" s="20">
        <v>4.5</v>
      </c>
      <c r="G21" s="21">
        <v>180.0</v>
      </c>
      <c r="H21" s="17" t="s">
        <v>140</v>
      </c>
      <c r="I21" s="17" t="s">
        <v>80</v>
      </c>
      <c r="J21" s="22" t="s">
        <v>80</v>
      </c>
      <c r="K21" s="16" t="s">
        <v>169</v>
      </c>
      <c r="L21" s="16" t="s">
        <v>187</v>
      </c>
      <c r="M21" s="23"/>
    </row>
    <row r="22" ht="42.0" customHeight="1">
      <c r="A22" s="16" t="s">
        <v>98</v>
      </c>
      <c r="B22" s="17" t="s">
        <v>55</v>
      </c>
      <c r="C22" s="17" t="s">
        <v>140</v>
      </c>
      <c r="D22" s="17">
        <f>VLOOKUP(A22,'Source data'!$A$7:$D$32,4,FALSE)</f>
        <v>1</v>
      </c>
      <c r="E22" s="16" t="str">
        <f>"REMOVE: only 45% full-price sell-through and $22,370 gross profit. 4.0 stars from 55 reviews. Cheap inventory alone is not a strong customer proposition."&amp;" Historical unit mix: "&amp;TEXT(VLOOKUP(A22,'Channel evidence'!$A$7:$E$32,4,FALSE),"0%")&amp;" store / "&amp;TEXT(VLOOKUP(A22,'Channel evidence'!$A$7:$E$32,5,FALSE),"0%")&amp;" online."</f>
        <v>REMOVE: only 45% full-price sell-through and $22,370 gross profit. 4.0 stars from 55 reviews. Cheap inventory alone is not a strong customer proposition. Historical unit mix: 0% store / 100% online.</v>
      </c>
      <c r="F22" s="20">
        <v>4.0</v>
      </c>
      <c r="G22" s="21">
        <v>55.0</v>
      </c>
      <c r="H22" s="17" t="s">
        <v>140</v>
      </c>
      <c r="I22" s="34" t="s">
        <v>140</v>
      </c>
      <c r="J22" s="22" t="s">
        <v>140</v>
      </c>
      <c r="K22" s="16" t="s">
        <v>169</v>
      </c>
      <c r="L22" s="35" t="s">
        <v>196</v>
      </c>
      <c r="M22" s="23"/>
    </row>
    <row r="23" ht="42.0" customHeight="1">
      <c r="A23" s="16" t="s">
        <v>102</v>
      </c>
      <c r="B23" s="17" t="s">
        <v>197</v>
      </c>
      <c r="C23" s="17" t="s">
        <v>140</v>
      </c>
      <c r="D23" s="17">
        <f>VLOOKUP(A23,'Source data'!$A$7:$D$32,4,FALSE)</f>
        <v>4</v>
      </c>
      <c r="E23" s="16" t="s">
        <v>199</v>
      </c>
      <c r="F23" s="20"/>
      <c r="G23" s="21"/>
      <c r="H23" s="17" t="s">
        <v>56</v>
      </c>
      <c r="I23" s="17" t="s">
        <v>140</v>
      </c>
      <c r="J23" s="22" t="s">
        <v>140</v>
      </c>
      <c r="K23" s="16" t="s">
        <v>87</v>
      </c>
      <c r="L23" s="16" t="s">
        <v>206</v>
      </c>
      <c r="M23" s="23"/>
    </row>
    <row r="24" ht="42.0" customHeight="1">
      <c r="A24" s="16" t="s">
        <v>106</v>
      </c>
      <c r="B24" s="17" t="s">
        <v>197</v>
      </c>
      <c r="C24" s="17" t="s">
        <v>140</v>
      </c>
      <c r="D24" s="17">
        <f>VLOOKUP(A24,'Source data'!$A$7:$D$32,4,FALSE)</f>
        <v>2</v>
      </c>
      <c r="E24" s="16" t="s">
        <v>209</v>
      </c>
      <c r="F24" s="20"/>
      <c r="G24" s="21"/>
      <c r="H24" s="17" t="s">
        <v>56</v>
      </c>
      <c r="I24" s="17" t="s">
        <v>140</v>
      </c>
      <c r="J24" s="22" t="s">
        <v>140</v>
      </c>
      <c r="K24" s="16" t="s">
        <v>87</v>
      </c>
      <c r="L24" s="16" t="s">
        <v>206</v>
      </c>
      <c r="M24" s="23"/>
    </row>
    <row r="25" ht="42.0" customHeight="1">
      <c r="A25" s="16" t="s">
        <v>111</v>
      </c>
      <c r="B25" s="17" t="s">
        <v>197</v>
      </c>
      <c r="C25" s="17" t="s">
        <v>140</v>
      </c>
      <c r="D25" s="17">
        <f>VLOOKUP(A25,'Source data'!$A$7:$D$32,4,FALSE)</f>
        <v>2</v>
      </c>
      <c r="E25" s="16" t="s">
        <v>213</v>
      </c>
      <c r="F25" s="20"/>
      <c r="G25" s="21"/>
      <c r="H25" s="17" t="s">
        <v>140</v>
      </c>
      <c r="I25" s="17" t="s">
        <v>140</v>
      </c>
      <c r="J25" s="22" t="s">
        <v>140</v>
      </c>
      <c r="K25" s="16" t="s">
        <v>158</v>
      </c>
      <c r="L25" s="16" t="s">
        <v>154</v>
      </c>
      <c r="M25" s="23"/>
    </row>
    <row r="26" ht="42.0" customHeight="1">
      <c r="A26" s="16" t="s">
        <v>114</v>
      </c>
      <c r="B26" s="17" t="s">
        <v>197</v>
      </c>
      <c r="C26" s="17" t="s">
        <v>56</v>
      </c>
      <c r="D26" s="17">
        <f>VLOOKUP(A26,'Source data'!$A$7:$D$32,4,FALSE)</f>
        <v>2</v>
      </c>
      <c r="E26" s="16" t="s">
        <v>216</v>
      </c>
      <c r="F26" s="20"/>
      <c r="G26" s="21"/>
      <c r="H26" s="17" t="s">
        <v>56</v>
      </c>
      <c r="I26" s="17" t="s">
        <v>56</v>
      </c>
      <c r="J26" s="22" t="s">
        <v>140</v>
      </c>
      <c r="K26" s="16" t="s">
        <v>87</v>
      </c>
      <c r="L26" s="16" t="s">
        <v>154</v>
      </c>
      <c r="M26" s="23"/>
    </row>
    <row r="27" ht="42.0" customHeight="1">
      <c r="A27" s="16" t="s">
        <v>118</v>
      </c>
      <c r="B27" s="17" t="s">
        <v>197</v>
      </c>
      <c r="C27" s="17" t="s">
        <v>56</v>
      </c>
      <c r="D27" s="17">
        <f>VLOOKUP(A27,'Source data'!$A$7:$D$32,4,FALSE)</f>
        <v>1</v>
      </c>
      <c r="E27" s="16" t="s">
        <v>218</v>
      </c>
      <c r="F27" s="20"/>
      <c r="G27" s="21"/>
      <c r="H27" s="17" t="s">
        <v>56</v>
      </c>
      <c r="I27" s="17" t="s">
        <v>56</v>
      </c>
      <c r="J27" s="22" t="s">
        <v>56</v>
      </c>
      <c r="K27" s="16" t="s">
        <v>158</v>
      </c>
      <c r="L27" s="16" t="s">
        <v>154</v>
      </c>
      <c r="M27" s="23"/>
    </row>
    <row r="28" ht="42.0" customHeight="1">
      <c r="A28" s="16" t="s">
        <v>123</v>
      </c>
      <c r="B28" s="17" t="s">
        <v>197</v>
      </c>
      <c r="C28" s="17" t="s">
        <v>80</v>
      </c>
      <c r="D28" s="17">
        <f>VLOOKUP(A28,'Source data'!$A$7:$D$32,4,FALSE)</f>
        <v>2</v>
      </c>
      <c r="E28" s="16" t="s">
        <v>221</v>
      </c>
      <c r="F28" s="20"/>
      <c r="G28" s="21"/>
      <c r="H28" s="17" t="s">
        <v>140</v>
      </c>
      <c r="I28" s="17" t="s">
        <v>56</v>
      </c>
      <c r="J28" s="22" t="s">
        <v>56</v>
      </c>
      <c r="K28" s="16" t="s">
        <v>158</v>
      </c>
      <c r="L28" s="16" t="s">
        <v>223</v>
      </c>
      <c r="M28" s="23"/>
    </row>
    <row r="29" ht="42.0" customHeight="1">
      <c r="A29" s="16" t="s">
        <v>127</v>
      </c>
      <c r="B29" s="17" t="s">
        <v>197</v>
      </c>
      <c r="C29" s="17" t="s">
        <v>140</v>
      </c>
      <c r="D29" s="17">
        <f>VLOOKUP(A29,'Source data'!$A$7:$D$32,4,FALSE)</f>
        <v>1</v>
      </c>
      <c r="E29" s="16" t="s">
        <v>225</v>
      </c>
      <c r="F29" s="20"/>
      <c r="G29" s="21"/>
      <c r="H29" s="17" t="s">
        <v>56</v>
      </c>
      <c r="I29" s="17" t="s">
        <v>140</v>
      </c>
      <c r="J29" s="22" t="s">
        <v>140</v>
      </c>
      <c r="K29" s="16" t="s">
        <v>169</v>
      </c>
      <c r="L29" s="16" t="s">
        <v>206</v>
      </c>
      <c r="M29" s="23"/>
    </row>
    <row r="30" ht="42.0" customHeight="1">
      <c r="A30" s="16" t="s">
        <v>128</v>
      </c>
      <c r="B30" s="17" t="s">
        <v>197</v>
      </c>
      <c r="C30" s="17" t="s">
        <v>56</v>
      </c>
      <c r="D30" s="17">
        <f>VLOOKUP(A30,'Source data'!$A$7:$D$32,4,FALSE)</f>
        <v>1</v>
      </c>
      <c r="E30" s="16" t="s">
        <v>227</v>
      </c>
      <c r="F30" s="20"/>
      <c r="G30" s="21"/>
      <c r="H30" s="17" t="s">
        <v>140</v>
      </c>
      <c r="I30" s="17" t="s">
        <v>56</v>
      </c>
      <c r="J30" s="22" t="s">
        <v>56</v>
      </c>
      <c r="K30" s="16" t="s">
        <v>169</v>
      </c>
      <c r="L30" s="16" t="s">
        <v>229</v>
      </c>
      <c r="M30" s="23"/>
    </row>
    <row r="31" ht="42.0" customHeight="1">
      <c r="A31" s="16" t="s">
        <v>130</v>
      </c>
      <c r="B31" s="17" t="s">
        <v>197</v>
      </c>
      <c r="C31" s="17" t="s">
        <v>56</v>
      </c>
      <c r="D31" s="17">
        <f>VLOOKUP(A31,'Source data'!$A$7:$D$32,4,FALSE)</f>
        <v>1</v>
      </c>
      <c r="E31" s="16" t="s">
        <v>231</v>
      </c>
      <c r="F31" s="20"/>
      <c r="G31" s="21"/>
      <c r="H31" s="17" t="s">
        <v>140</v>
      </c>
      <c r="I31" s="17" t="s">
        <v>56</v>
      </c>
      <c r="J31" s="22" t="s">
        <v>56</v>
      </c>
      <c r="K31" s="16" t="s">
        <v>169</v>
      </c>
      <c r="L31" s="16" t="s">
        <v>229</v>
      </c>
      <c r="M31" s="23"/>
    </row>
    <row r="32" ht="42.0" customHeight="1">
      <c r="A32" s="16" t="s">
        <v>131</v>
      </c>
      <c r="B32" s="17" t="s">
        <v>197</v>
      </c>
      <c r="C32" s="17" t="s">
        <v>56</v>
      </c>
      <c r="D32" s="17">
        <f>VLOOKUP(A32,'Source data'!$A$7:$D$32,4,FALSE)</f>
        <v>1</v>
      </c>
      <c r="E32" s="16" t="s">
        <v>235</v>
      </c>
      <c r="F32" s="20"/>
      <c r="G32" s="21"/>
      <c r="H32" s="17" t="s">
        <v>56</v>
      </c>
      <c r="I32" s="17" t="s">
        <v>56</v>
      </c>
      <c r="J32" s="22" t="s">
        <v>56</v>
      </c>
      <c r="K32" s="16" t="s">
        <v>169</v>
      </c>
      <c r="L32" s="16" t="s">
        <v>154</v>
      </c>
      <c r="M32" s="23"/>
    </row>
    <row r="33" ht="24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ht="24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ht="24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ht="24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ht="24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M4"/>
  </mergeCells>
  <dataValidations>
    <dataValidation type="list" allowBlank="1" showErrorMessage="1" sqref="J7:J32">
      <formula1>"In-Store,Online-Only,Removed,Undecided"</formula1>
    </dataValidation>
    <dataValidation allowBlank="1" showDropDown="1" sqref="M7:M32"/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3.88"/>
    <col customWidth="1" min="2" max="2" width="17.63"/>
    <col customWidth="1" min="3" max="3" width="12.0"/>
    <col customWidth="1" min="4" max="5" width="13.25"/>
    <col customWidth="1" min="6" max="6" width="25.75"/>
  </cols>
  <sheetData>
    <row r="1" ht="24.0" customHeight="1">
      <c r="A1" s="1"/>
      <c r="B1" s="1"/>
      <c r="C1" s="1"/>
      <c r="D1" s="1"/>
      <c r="E1" s="1"/>
      <c r="F1" s="1"/>
    </row>
    <row r="2" ht="24.0" customHeight="1">
      <c r="A2" s="2" t="s">
        <v>2</v>
      </c>
    </row>
    <row r="3" ht="24.0" customHeight="1">
      <c r="A3" s="1"/>
      <c r="B3" s="1"/>
      <c r="C3" s="1"/>
      <c r="D3" s="1"/>
      <c r="E3" s="1"/>
      <c r="F3" s="1"/>
    </row>
    <row r="4" ht="24.0" customHeight="1">
      <c r="A4" s="1" t="s">
        <v>3</v>
      </c>
    </row>
    <row r="5" ht="24.0" customHeight="1">
      <c r="A5" s="1"/>
      <c r="B5" s="1"/>
      <c r="C5" s="1"/>
      <c r="D5" s="1"/>
      <c r="E5" s="1"/>
      <c r="F5" s="1"/>
    </row>
    <row r="6" ht="34.5" customHeight="1">
      <c r="A6" s="4" t="s">
        <v>4</v>
      </c>
      <c r="B6" s="4" t="s">
        <v>6</v>
      </c>
      <c r="C6" s="4" t="s">
        <v>9</v>
      </c>
      <c r="D6" s="4" t="s">
        <v>11</v>
      </c>
      <c r="E6" s="4" t="s">
        <v>13</v>
      </c>
      <c r="F6" s="4" t="s">
        <v>16</v>
      </c>
    </row>
    <row r="7">
      <c r="A7" s="1" t="str">
        <f>'Source data'!A7</f>
        <v>12 ft Giant Skeleton</v>
      </c>
      <c r="B7" s="1" t="str">
        <f>TEXT('Source data'!O7,"$#,##0")&amp;" / "&amp;TEXT('Source data'!O7/'Source data'!N7,"0.0%")</f>
        <v>$6,621,000 / 56.8%</v>
      </c>
      <c r="C7" s="10">
        <f>'Source data'!H7/'Source data'!G7</f>
        <v>0.95</v>
      </c>
      <c r="D7" s="1" t="str">
        <f>TEXT('Source data'!J7/SUM('Source data'!J7:K7),"0%")&amp;" / "&amp;TEXT('Source data'!K7/SUM('Source data'!J7:K7),"0%")</f>
        <v>45% / 55%</v>
      </c>
      <c r="E7" s="1" t="str">
        <f>TEXT('Source data'!L7,"0.0")&amp;" ("&amp;TEXT('Source data'!M7,"#,##0")&amp;")"</f>
        <v>4.5 (1,200)</v>
      </c>
      <c r="F7" s="1" t="s">
        <v>37</v>
      </c>
    </row>
    <row r="8">
      <c r="A8" s="1" t="str">
        <f>'Source data'!A8</f>
        <v>9 ft Animated Pirate Ship</v>
      </c>
      <c r="B8" s="1" t="str">
        <f>TEXT('Source data'!O8,"$#,##0")&amp;" / "&amp;TEXT('Source data'!O8/'Source data'!N8,"0.0%")</f>
        <v>$1,216,800 / 42.4%</v>
      </c>
      <c r="C8" s="10">
        <f>'Source data'!H8/'Source data'!G8</f>
        <v>0.6</v>
      </c>
      <c r="D8" s="1" t="str">
        <f>TEXT('Source data'!J8/SUM('Source data'!J8:K8),"0%")&amp;" / "&amp;TEXT('Source data'!K8/SUM('Source data'!J8:K8),"0%")</f>
        <v>30% / 70%</v>
      </c>
      <c r="E8" s="1" t="str">
        <f>TEXT('Source data'!L8,"0.0")&amp;" ("&amp;TEXT('Source data'!M8,"#,##0")&amp;")"</f>
        <v>4.3 (95)</v>
      </c>
      <c r="F8" s="1" t="s">
        <v>72</v>
      </c>
    </row>
    <row r="9">
      <c r="A9" s="1" t="str">
        <f>'Source data'!A9</f>
        <v>7 ft Animated Reaper</v>
      </c>
      <c r="B9" s="1" t="str">
        <f>TEXT('Source data'!O9,"$#,##0")&amp;" / "&amp;TEXT('Source data'!O9/'Source data'!N9,"0.0%")</f>
        <v>$1,812,900 / 58.5%</v>
      </c>
      <c r="C9" s="10">
        <f>'Source data'!H9/'Source data'!G9</f>
        <v>0.85</v>
      </c>
      <c r="D9" s="1" t="str">
        <f>TEXT('Source data'!J9/SUM('Source data'!J9:K9),"0%")&amp;" / "&amp;TEXT('Source data'!K9/SUM('Source data'!J9:K9),"0%")</f>
        <v>50% / 50%</v>
      </c>
      <c r="E9" s="1" t="str">
        <f>TEXT('Source data'!L9,"0.0")&amp;" ("&amp;TEXT('Source data'!M9,"#,##0")&amp;")"</f>
        <v>4.6 (265)</v>
      </c>
      <c r="F9" s="1" t="s">
        <v>84</v>
      </c>
    </row>
    <row r="10">
      <c r="A10" s="1" t="str">
        <f>'Source data'!A10</f>
        <v>5.5 ft LED Skeleton Pony</v>
      </c>
      <c r="B10" s="1" t="str">
        <f>TEXT('Source data'!O10,"$#,##0")&amp;" / "&amp;TEXT('Source data'!O10/'Source data'!N10,"0.0%")</f>
        <v>$1,037,400 / 63.8%</v>
      </c>
      <c r="C10" s="10">
        <f>'Source data'!H10/'Source data'!G10</f>
        <v>0.8</v>
      </c>
      <c r="D10" s="1" t="str">
        <f>TEXT('Source data'!J10/SUM('Source data'!J10:K10),"0%")&amp;" / "&amp;TEXT('Source data'!K10/SUM('Source data'!J10:K10),"0%")</f>
        <v>55% / 45%</v>
      </c>
      <c r="E10" s="1" t="str">
        <f>TEXT('Source data'!L10,"0.0")&amp;" ("&amp;TEXT('Source data'!M10,"#,##0")&amp;")"</f>
        <v>4.1 (100)</v>
      </c>
      <c r="F10" s="1" t="s">
        <v>129</v>
      </c>
    </row>
    <row r="11">
      <c r="A11" s="1" t="str">
        <f>'Source data'!A11</f>
        <v>10.5 ft Licensed Character Inflatable</v>
      </c>
      <c r="B11" s="1" t="str">
        <f>TEXT('Source data'!O11,"$#,##0")&amp;" / "&amp;TEXT('Source data'!O11/'Source data'!N11,"0.0%")</f>
        <v>$46,600 / 4.2%</v>
      </c>
      <c r="C11" s="10">
        <f>'Source data'!H11/'Source data'!G11</f>
        <v>0.85</v>
      </c>
      <c r="D11" s="1" t="str">
        <f>TEXT('Source data'!J11/SUM('Source data'!J11:K11),"0%")&amp;" / "&amp;TEXT('Source data'!K11/SUM('Source data'!J11:K11),"0%")</f>
        <v>40% / 60%</v>
      </c>
      <c r="E11" s="1" t="str">
        <f>TEXT('Source data'!L11,"0.0")&amp;" ("&amp;TEXT('Source data'!M11,"#,##0")&amp;")"</f>
        <v>4.8 (220)</v>
      </c>
      <c r="F11" s="1" t="s">
        <v>139</v>
      </c>
    </row>
    <row r="12">
      <c r="A12" s="1" t="str">
        <f>'Source data'!A12</f>
        <v>9.5 ft Licensed Sandworm Inflatable</v>
      </c>
      <c r="B12" s="1" t="str">
        <f>TEXT('Source data'!O12,"$#,##0")&amp;" / "&amp;TEXT('Source data'!O12/'Source data'!N12,"0.0%")</f>
        <v>$410,500 / 33.9%</v>
      </c>
      <c r="C12" s="10">
        <f>'Source data'!H12/'Source data'!G12</f>
        <v>0.8</v>
      </c>
      <c r="D12" s="1" t="str">
        <f>TEXT('Source data'!J12/SUM('Source data'!J12:K12),"0%")&amp;" / "&amp;TEXT('Source data'!K12/SUM('Source data'!J12:K12),"0%")</f>
        <v>35% / 65%</v>
      </c>
      <c r="E12" s="1" t="str">
        <f>TEXT('Source data'!L12,"0.0")&amp;" ("&amp;TEXT('Source data'!M12,"#,##0")&amp;")"</f>
        <v>4.7 (205)</v>
      </c>
      <c r="F12" s="1" t="s">
        <v>153</v>
      </c>
    </row>
    <row r="13">
      <c r="A13" s="1" t="str">
        <f>'Source data'!A13</f>
        <v>12 ft Reaper Inflatable</v>
      </c>
      <c r="B13" s="1" t="str">
        <f>TEXT('Source data'!O13,"$#,##0")&amp;" / "&amp;TEXT('Source data'!O13/'Source data'!N13,"0.0%")</f>
        <v>$13,500 / 2.5%</v>
      </c>
      <c r="C13" s="10">
        <f>'Source data'!H13/'Source data'!G13</f>
        <v>0.5</v>
      </c>
      <c r="D13" s="1" t="str">
        <f>TEXT('Source data'!J13/SUM('Source data'!J13:K13),"0%")&amp;" / "&amp;TEXT('Source data'!K13/SUM('Source data'!J13:K13),"0%")</f>
        <v>45% / 55%</v>
      </c>
      <c r="E13" s="1" t="str">
        <f>TEXT('Source data'!L13,"0.0")&amp;" ("&amp;TEXT('Source data'!M13,"#,##0")&amp;")"</f>
        <v>4.8 (75)</v>
      </c>
      <c r="F13" s="1" t="s">
        <v>155</v>
      </c>
    </row>
    <row r="14">
      <c r="A14" s="1" t="str">
        <f>'Source data'!A14</f>
        <v>6 ft Scarecrow Inflatable</v>
      </c>
      <c r="B14" s="1" t="str">
        <f>TEXT('Source data'!O14,"$#,##0")&amp;" / "&amp;TEXT('Source data'!O14/'Source data'!N14,"0.0%")</f>
        <v>$391,500 / 35.9%</v>
      </c>
      <c r="C14" s="10">
        <f>'Source data'!H14/'Source data'!G14</f>
        <v>0.85</v>
      </c>
      <c r="D14" s="1" t="str">
        <f>TEXT('Source data'!J14/SUM('Source data'!J14:K14),"0%")&amp;" / "&amp;TEXT('Source data'!K14/SUM('Source data'!J14:K14),"0%")</f>
        <v>65% / 35%</v>
      </c>
      <c r="E14" s="1" t="str">
        <f>TEXT('Source data'!L14,"0.0")&amp;" ("&amp;TEXT('Source data'!M14,"#,##0")&amp;")"</f>
        <v>4.6 (60)</v>
      </c>
      <c r="F14" s="1" t="s">
        <v>156</v>
      </c>
    </row>
    <row r="15">
      <c r="A15" s="1" t="str">
        <f>'Source data'!A15</f>
        <v>24 in Metal Tombstone</v>
      </c>
      <c r="B15" s="1" t="str">
        <f>TEXT('Source data'!O15,"$#,##0")&amp;" / "&amp;TEXT('Source data'!O15/'Source data'!N15,"0.0%")</f>
        <v>$546,960 / 81.1%</v>
      </c>
      <c r="C15" s="10">
        <f>'Source data'!H15/'Source data'!G15</f>
        <v>0.8</v>
      </c>
      <c r="D15" s="1" t="str">
        <f>TEXT('Source data'!J15/SUM('Source data'!J15:K15),"0%")&amp;" / "&amp;TEXT('Source data'!K15/SUM('Source data'!J15:K15),"0%")</f>
        <v>70% / 30%</v>
      </c>
      <c r="E15" s="1" t="str">
        <f>TEXT('Source data'!L15,"0.0")&amp;" ("&amp;TEXT('Source data'!M15,"#,##0")&amp;")"</f>
        <v>5.0 (6)</v>
      </c>
      <c r="F15" s="1" t="s">
        <v>157</v>
      </c>
    </row>
    <row r="16">
      <c r="A16" s="1" t="str">
        <f>'Source data'!A16</f>
        <v>5 ft Skeleton Tombstone</v>
      </c>
      <c r="B16" s="1" t="str">
        <f>TEXT('Source data'!O16,"$#,##0")&amp;" / "&amp;TEXT('Source data'!O16/'Source data'!N16,"0.0%")</f>
        <v>$574,700 / 61.2%</v>
      </c>
      <c r="C16" s="10">
        <f>'Source data'!H16/'Source data'!G16</f>
        <v>0.8</v>
      </c>
      <c r="D16" s="1" t="str">
        <f>TEXT('Source data'!J16/SUM('Source data'!J16:K16),"0%")&amp;" / "&amp;TEXT('Source data'!K16/SUM('Source data'!J16:K16),"0%")</f>
        <v>45% / 55%</v>
      </c>
      <c r="E16" s="1" t="str">
        <f>TEXT('Source data'!L16,"0.0")&amp;" ("&amp;TEXT('Source data'!M16,"#,##0")&amp;")"</f>
        <v>4.8 (10)</v>
      </c>
      <c r="F16" s="1" t="s">
        <v>159</v>
      </c>
    </row>
    <row r="17">
      <c r="A17" s="1" t="str">
        <f>'Source data'!A17</f>
        <v>LED Fog Machine</v>
      </c>
      <c r="B17" s="1" t="str">
        <f>TEXT('Source data'!O17,"$#,##0")&amp;" / "&amp;TEXT('Source data'!O17/'Source data'!N17,"0.0%")</f>
        <v>$48,500 / 5.0%</v>
      </c>
      <c r="C17" s="10">
        <f>'Source data'!H17/'Source data'!G17</f>
        <v>0.32</v>
      </c>
      <c r="D17" s="1" t="str">
        <f>TEXT('Source data'!J17/SUM('Source data'!J17:K17),"0%")&amp;" / "&amp;TEXT('Source data'!K17/SUM('Source data'!J17:K17),"0%")</f>
        <v>60% / 40%</v>
      </c>
      <c r="E17" s="1" t="str">
        <f>TEXT('Source data'!L17,"0.0")&amp;" ("&amp;TEXT('Source data'!M17,"#,##0")&amp;")"</f>
        <v>4.2 (3,400)</v>
      </c>
      <c r="F17" s="1" t="s">
        <v>161</v>
      </c>
    </row>
    <row r="18">
      <c r="A18" s="1" t="str">
        <f>'Source data'!A18</f>
        <v>Pathway Light Set (6-piece)</v>
      </c>
      <c r="B18" s="1" t="str">
        <f>TEXT('Source data'!O18,"$#,##0")&amp;" / "&amp;TEXT('Source data'!O18/'Source data'!N18,"0.0%")</f>
        <v>$366,417 / 62.9%</v>
      </c>
      <c r="C18" s="10">
        <f>'Source data'!H18/'Source data'!G18</f>
        <v>0.85</v>
      </c>
      <c r="D18" s="1" t="str">
        <f>TEXT('Source data'!J18/SUM('Source data'!J18:K18),"0%")&amp;" / "&amp;TEXT('Source data'!K18/SUM('Source data'!J18:K18),"0%")</f>
        <v>70% / 30%</v>
      </c>
      <c r="E18" s="1" t="str">
        <f>TEXT('Source data'!L18,"0.0")&amp;" ("&amp;TEXT('Source data'!M18,"#,##0")&amp;")"</f>
        <v>4.4 (480)</v>
      </c>
      <c r="F18" s="1" t="s">
        <v>162</v>
      </c>
    </row>
    <row r="19">
      <c r="A19" s="1" t="str">
        <f>'Source data'!A19</f>
        <v>16 ft Inflatable Haunted Archway</v>
      </c>
      <c r="B19" s="1" t="str">
        <f>TEXT('Source data'!O19,"$#,##0")&amp;" / "&amp;TEXT('Source data'!O19/'Source data'!N19,"0.0%")</f>
        <v>$534,450 / 48.4%</v>
      </c>
      <c r="C19" s="10">
        <f>'Source data'!H19/'Source data'!G19</f>
        <v>0.85</v>
      </c>
      <c r="D19" s="1" t="str">
        <f>TEXT('Source data'!J19/SUM('Source data'!J19:K19),"0%")&amp;" / "&amp;TEXT('Source data'!K19/SUM('Source data'!J19:K19),"0%")</f>
        <v>0% / 100%</v>
      </c>
      <c r="E19" s="1" t="str">
        <f>TEXT('Source data'!L19,"0.0")&amp;" ("&amp;TEXT('Source data'!M19,"#,##0")&amp;")"</f>
        <v>4.6 (340)</v>
      </c>
      <c r="F19" s="1" t="s">
        <v>164</v>
      </c>
    </row>
    <row r="20">
      <c r="A20" s="1" t="str">
        <f>'Source data'!A20</f>
        <v>Life-Size Animated Butler</v>
      </c>
      <c r="B20" s="1" t="str">
        <f>TEXT('Source data'!O20,"$#,##0")&amp;" / "&amp;TEXT('Source data'!O20/'Source data'!N20,"0.0%")</f>
        <v>$916,200 / 60.4%</v>
      </c>
      <c r="C20" s="10">
        <f>'Source data'!H20/'Source data'!G20</f>
        <v>0.9</v>
      </c>
      <c r="D20" s="1" t="str">
        <f>TEXT('Source data'!J20/SUM('Source data'!J20:K20),"0%")&amp;" / "&amp;TEXT('Source data'!K20/SUM('Source data'!J20:K20),"0%")</f>
        <v>0% / 100%</v>
      </c>
      <c r="E20" s="1" t="str">
        <f>TEXT('Source data'!L20,"0.0")&amp;" ("&amp;TEXT('Source data'!M20,"#,##0")&amp;")"</f>
        <v>4.7 (210)</v>
      </c>
      <c r="F20" s="1" t="s">
        <v>166</v>
      </c>
    </row>
    <row r="21">
      <c r="A21" s="28" t="str">
        <f>'Source data'!A21</f>
        <v>Animated Witch Cauldron</v>
      </c>
      <c r="B21" s="28" t="str">
        <f>TEXT('Source data'!O21,"$#,##0")&amp;" / "&amp;TEXT('Source data'!O21/'Source data'!N21,"0.0%")</f>
        <v>$215,375 / 58.9%</v>
      </c>
      <c r="C21" s="29">
        <f>'Source data'!H21/'Source data'!G21</f>
        <v>0.85</v>
      </c>
      <c r="D21" s="28" t="str">
        <f>TEXT('Source data'!J21/SUM('Source data'!J21:K21),"0%")&amp;" / "&amp;TEXT('Source data'!K21/SUM('Source data'!J21:K21),"0%")</f>
        <v>0% / 100%</v>
      </c>
      <c r="E21" s="28" t="str">
        <f>TEXT('Source data'!L21,"0.0")&amp;" ("&amp;TEXT('Source data'!M21,"#,##0")&amp;")"</f>
        <v>4.5 (180)</v>
      </c>
      <c r="F21" s="28" t="s">
        <v>167</v>
      </c>
      <c r="G21" s="30"/>
      <c r="H21" s="30"/>
      <c r="I21" s="30"/>
    </row>
    <row r="22">
      <c r="A22" s="1" t="str">
        <f>'Source data'!A22</f>
        <v>Halloween Doormat Assortment</v>
      </c>
      <c r="B22" s="1" t="str">
        <f>TEXT('Source data'!O22,"$#,##0")&amp;" / "&amp;TEXT('Source data'!O22/'Source data'!N22,"0.0%")</f>
        <v>$22,370 / 17.2%</v>
      </c>
      <c r="C22" s="10">
        <f>'Source data'!H22/'Source data'!G22</f>
        <v>0.45</v>
      </c>
      <c r="D22" s="1" t="str">
        <f>TEXT('Source data'!J22/SUM('Source data'!J22:K22),"0%")&amp;" / "&amp;TEXT('Source data'!K22/SUM('Source data'!J22:K22),"0%")</f>
        <v>0% / 100%</v>
      </c>
      <c r="E22" s="1" t="str">
        <f>TEXT('Source data'!L22,"0.0")&amp;" ("&amp;TEXT('Source data'!M22,"#,##0")&amp;")"</f>
        <v>4.0 (55)</v>
      </c>
      <c r="F22" s="1" t="s">
        <v>168</v>
      </c>
    </row>
    <row r="23" ht="24.0" customHeight="1">
      <c r="A23" s="1"/>
      <c r="B23" s="1"/>
      <c r="C23" s="1"/>
      <c r="D23" s="1"/>
      <c r="E23" s="1"/>
      <c r="F23" s="1"/>
    </row>
    <row r="24" ht="33.75" customHeight="1">
      <c r="A24" s="1" t="s">
        <v>170</v>
      </c>
    </row>
    <row r="25" ht="24.0" customHeight="1">
      <c r="A25" s="1"/>
      <c r="B25" s="1"/>
      <c r="C25" s="1"/>
      <c r="D25" s="1"/>
      <c r="E25" s="1"/>
      <c r="F25" s="1"/>
    </row>
    <row r="26" ht="34.5" customHeight="1">
      <c r="A26" s="4" t="s">
        <v>171</v>
      </c>
      <c r="B26" s="4" t="s">
        <v>172</v>
      </c>
      <c r="C26" s="4" t="s">
        <v>173</v>
      </c>
      <c r="D26" s="4" t="s">
        <v>174</v>
      </c>
      <c r="E26" s="4" t="s">
        <v>175</v>
      </c>
      <c r="F26" s="4" t="s">
        <v>16</v>
      </c>
    </row>
    <row r="27">
      <c r="A27" s="1" t="str">
        <f>'Source data'!A23</f>
        <v>14 ft Giant Animated Dragon</v>
      </c>
      <c r="B27" s="1" t="str">
        <f>TEXT('Source data'!E23,"$0.00")&amp;" / "&amp;TEXT('Source data'!F23,"$0.00")</f>
        <v>$449.00 / $240.00</v>
      </c>
      <c r="C27" s="31">
        <f>'Source data'!G23</f>
        <v>45000</v>
      </c>
      <c r="D27" s="32">
        <f>'Source data'!G23*'Source data'!F23</f>
        <v>10800000</v>
      </c>
      <c r="E27" s="33">
        <f>1-'Source data'!F23/'Source data'!E23</f>
        <v>0.4654788419</v>
      </c>
      <c r="F27" s="1" t="s">
        <v>176</v>
      </c>
    </row>
    <row r="28">
      <c r="A28" s="1" t="str">
        <f>'Source data'!A24</f>
        <v>6 ft Licensed Movie Villain</v>
      </c>
      <c r="B28" s="1" t="str">
        <f>TEXT('Source data'!E24,"$0.00")&amp;" / "&amp;TEXT('Source data'!F24,"$0.00")</f>
        <v>$329.00 / $215.00</v>
      </c>
      <c r="C28" s="31">
        <f>'Source data'!G24</f>
        <v>14000</v>
      </c>
      <c r="D28" s="32">
        <f>'Source data'!G24*'Source data'!F24</f>
        <v>3010000</v>
      </c>
      <c r="E28" s="33">
        <f>1-'Source data'!F24/'Source data'!E24</f>
        <v>0.3465045593</v>
      </c>
      <c r="F28" s="1" t="s">
        <v>177</v>
      </c>
    </row>
    <row r="29">
      <c r="A29" s="1" t="str">
        <f>'Source data'!A25</f>
        <v>9 ft Licensed Franchise Inflatable</v>
      </c>
      <c r="B29" s="1" t="str">
        <f>TEXT('Source data'!E25,"$0.00")&amp;" / "&amp;TEXT('Source data'!F25,"$0.00")</f>
        <v>$159.00 / $138.00</v>
      </c>
      <c r="C29" s="31">
        <f>'Source data'!G25</f>
        <v>12000</v>
      </c>
      <c r="D29" s="32">
        <f>'Source data'!G25*'Source data'!F25</f>
        <v>1656000</v>
      </c>
      <c r="E29" s="33">
        <f>1-'Source data'!F25/'Source data'!E25</f>
        <v>0.1320754717</v>
      </c>
      <c r="F29" s="1" t="s">
        <v>178</v>
      </c>
    </row>
    <row r="30">
      <c r="A30" s="28" t="str">
        <f>'Source data'!A26</f>
        <v>7 ft Licensed Sitcom Character</v>
      </c>
      <c r="B30" s="28" t="str">
        <f>TEXT('Source data'!E26,"$0.00")&amp;" / "&amp;TEXT('Source data'!F26,"$0.00")</f>
        <v>$279.00 / $164.00</v>
      </c>
      <c r="C30" s="36">
        <f>'Source data'!G26</f>
        <v>9000</v>
      </c>
      <c r="D30" s="37">
        <f>'Source data'!G26*'Source data'!F26</f>
        <v>1476000</v>
      </c>
      <c r="E30" s="38">
        <f>1-'Source data'!F26/'Source data'!E26</f>
        <v>0.4121863799</v>
      </c>
      <c r="F30" s="28" t="s">
        <v>179</v>
      </c>
      <c r="G30" s="30"/>
      <c r="H30" s="30"/>
      <c r="I30" s="30"/>
    </row>
    <row r="31">
      <c r="A31" s="1" t="str">
        <f>'Source data'!A27</f>
        <v>8 ft Inflatable Black Cat</v>
      </c>
      <c r="B31" s="1" t="str">
        <f>TEXT('Source data'!E27,"$0.00")&amp;" / "&amp;TEXT('Source data'!F27,"$0.00")</f>
        <v>$79.00 / $40.00</v>
      </c>
      <c r="C31" s="31">
        <f>'Source data'!G27</f>
        <v>16000</v>
      </c>
      <c r="D31" s="32">
        <f>'Source data'!G27*'Source data'!F27</f>
        <v>640000</v>
      </c>
      <c r="E31" s="33">
        <f>1-'Source data'!F27/'Source data'!E27</f>
        <v>0.4936708861</v>
      </c>
      <c r="F31" s="1" t="s">
        <v>180</v>
      </c>
    </row>
    <row r="32">
      <c r="A32" s="1" t="str">
        <f>'Source data'!A28</f>
        <v>12 ft Inflatable Haunted Tree</v>
      </c>
      <c r="B32" s="1" t="str">
        <f>TEXT('Source data'!E28,"$0.00")&amp;" / "&amp;TEXT('Source data'!F28,"$0.00")</f>
        <v>$179.00 / $88.00</v>
      </c>
      <c r="C32" s="31">
        <f>'Source data'!G28</f>
        <v>7000</v>
      </c>
      <c r="D32" s="32">
        <f>'Source data'!G28*'Source data'!F28</f>
        <v>616000</v>
      </c>
      <c r="E32" s="33">
        <f>1-'Source data'!F28/'Source data'!E28</f>
        <v>0.5083798883</v>
      </c>
      <c r="F32" s="1" t="s">
        <v>181</v>
      </c>
    </row>
    <row r="33">
      <c r="A33" s="1" t="str">
        <f>'Source data'!A29</f>
        <v>Fog Machine w/ Bluetooth Sound</v>
      </c>
      <c r="B33" s="1" t="str">
        <f>TEXT('Source data'!E29,"$0.00")&amp;" / "&amp;TEXT('Source data'!F29,"$0.00")</f>
        <v>$89.00 / $52.00</v>
      </c>
      <c r="C33" s="31">
        <f>'Source data'!G29</f>
        <v>20000</v>
      </c>
      <c r="D33" s="32">
        <f>'Source data'!G29*'Source data'!F29</f>
        <v>1040000</v>
      </c>
      <c r="E33" s="33">
        <f>1-'Source data'!F29/'Source data'!E29</f>
        <v>0.4157303371</v>
      </c>
      <c r="F33" s="1" t="s">
        <v>182</v>
      </c>
    </row>
    <row r="34">
      <c r="A34" s="1" t="str">
        <f>'Source data'!A30</f>
        <v>Animated Talking Portrait</v>
      </c>
      <c r="B34" s="1" t="str">
        <f>TEXT('Source data'!E30,"$0.00")&amp;" / "&amp;TEXT('Source data'!F30,"$0.00")</f>
        <v>$39.98 / $7.00</v>
      </c>
      <c r="C34" s="31">
        <f>'Source data'!G30</f>
        <v>9000</v>
      </c>
      <c r="D34" s="32">
        <f>'Source data'!G30*'Source data'!F30</f>
        <v>63000</v>
      </c>
      <c r="E34" s="33">
        <f>1-'Source data'!F30/'Source data'!E30</f>
        <v>0.8249124562</v>
      </c>
      <c r="F34" s="1" t="s">
        <v>184</v>
      </c>
    </row>
    <row r="35">
      <c r="A35" s="1" t="str">
        <f>'Source data'!A31</f>
        <v>Solar Pathway Ghosts (4-pc)</v>
      </c>
      <c r="B35" s="1" t="str">
        <f>TEXT('Source data'!E31,"$0.00")&amp;" / "&amp;TEXT('Source data'!F31,"$0.00")</f>
        <v>$44.98 / $16.00</v>
      </c>
      <c r="C35" s="31">
        <f>'Source data'!G31</f>
        <v>12000</v>
      </c>
      <c r="D35" s="32">
        <f>'Source data'!G31*'Source data'!F31</f>
        <v>192000</v>
      </c>
      <c r="E35" s="33">
        <f>1-'Source data'!F31/'Source data'!E31</f>
        <v>0.6442863495</v>
      </c>
      <c r="F35" s="1" t="s">
        <v>185</v>
      </c>
    </row>
    <row r="36">
      <c r="A36" s="1" t="str">
        <f>'Source data'!A32</f>
        <v>24 in Light-Up Pumpkin Stack</v>
      </c>
      <c r="B36" s="1" t="str">
        <f>TEXT('Source data'!E32,"$0.00")&amp;" / "&amp;TEXT('Source data'!F32,"$0.00")</f>
        <v>$29.98 / $9.00</v>
      </c>
      <c r="C36" s="31">
        <f>'Source data'!G32</f>
        <v>22000</v>
      </c>
      <c r="D36" s="32">
        <f>'Source data'!G32*'Source data'!F32</f>
        <v>198000</v>
      </c>
      <c r="E36" s="33">
        <f>1-'Source data'!F32/'Source data'!E32</f>
        <v>0.6997998666</v>
      </c>
      <c r="F36" s="1" t="s">
        <v>186</v>
      </c>
    </row>
    <row r="37" ht="24.0" customHeight="1">
      <c r="A37" s="1"/>
      <c r="B37" s="1"/>
      <c r="C37" s="1"/>
      <c r="D37" s="1"/>
      <c r="E37" s="1"/>
      <c r="F37" s="1"/>
    </row>
    <row r="38" ht="37.5" customHeight="1">
      <c r="A38" s="1"/>
    </row>
    <row r="39" ht="24.0" customHeight="1">
      <c r="A39" s="1"/>
      <c r="B39" s="1"/>
      <c r="C39" s="1"/>
      <c r="D39" s="1"/>
      <c r="E39" s="1"/>
      <c r="F39" s="1"/>
    </row>
    <row r="40" ht="24.0" customHeight="1">
      <c r="A40" s="1"/>
      <c r="B40" s="1"/>
      <c r="C40" s="1"/>
      <c r="D40" s="1"/>
      <c r="E40" s="1"/>
      <c r="F40" s="1"/>
    </row>
  </sheetData>
  <mergeCells count="4">
    <mergeCell ref="A2:F2"/>
    <mergeCell ref="A4:F4"/>
    <mergeCell ref="A24:F24"/>
    <mergeCell ref="A38:F3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5.13"/>
    <col customWidth="1" min="2" max="2" width="16.38"/>
    <col customWidth="1" min="3" max="3" width="36.38"/>
    <col customWidth="1" min="4" max="4" width="17.63"/>
    <col customWidth="1" min="5" max="7" width="17.0"/>
    <col customWidth="1" min="8" max="26" width="8.63"/>
  </cols>
  <sheetData>
    <row r="1" ht="24.0" customHeight="1">
      <c r="A1" s="3"/>
      <c r="B1" s="3"/>
      <c r="C1" s="3"/>
      <c r="D1" s="3"/>
      <c r="E1" s="3"/>
      <c r="F1" s="3"/>
      <c r="G1" s="3"/>
    </row>
    <row r="2" ht="24.0" customHeight="1">
      <c r="A2" s="5" t="s">
        <v>8</v>
      </c>
      <c r="B2" s="3"/>
      <c r="C2" s="3"/>
      <c r="D2" s="3"/>
      <c r="E2" s="3"/>
      <c r="F2" s="3"/>
      <c r="G2" s="3"/>
    </row>
    <row r="3" ht="24.0" customHeight="1">
      <c r="A3" s="3"/>
      <c r="B3" s="3"/>
      <c r="C3" s="3"/>
      <c r="D3" s="3"/>
      <c r="E3" s="3"/>
      <c r="F3" s="3"/>
      <c r="G3" s="3"/>
    </row>
    <row r="4" ht="41.25" customHeight="1">
      <c r="A4" s="6" t="s">
        <v>19</v>
      </c>
      <c r="B4" s="3"/>
      <c r="C4" s="3"/>
      <c r="D4" s="3"/>
      <c r="E4" s="3"/>
      <c r="F4" s="3"/>
      <c r="G4" s="3"/>
    </row>
    <row r="5" ht="24.0" customHeight="1">
      <c r="A5" s="3"/>
      <c r="B5" s="3"/>
      <c r="C5" s="3"/>
      <c r="D5" s="3"/>
      <c r="E5" s="3"/>
      <c r="F5" s="3"/>
      <c r="G5" s="3"/>
    </row>
    <row r="6" ht="37.5" customHeight="1">
      <c r="A6" s="8" t="s">
        <v>22</v>
      </c>
      <c r="B6" s="8" t="s">
        <v>23</v>
      </c>
      <c r="C6" s="8" t="s">
        <v>24</v>
      </c>
      <c r="D6" s="8" t="s">
        <v>25</v>
      </c>
      <c r="E6" s="3"/>
      <c r="F6" s="3"/>
      <c r="G6" s="3"/>
    </row>
    <row r="7" ht="24.0" customHeight="1">
      <c r="A7" s="9" t="s">
        <v>27</v>
      </c>
      <c r="B7" s="12">
        <v>1.0</v>
      </c>
      <c r="C7" s="12">
        <v>1.0</v>
      </c>
      <c r="D7" s="12">
        <v>0.5</v>
      </c>
      <c r="E7" s="3"/>
      <c r="F7" s="3"/>
      <c r="G7" s="3"/>
    </row>
    <row r="8" ht="24.0" customHeight="1">
      <c r="A8" s="9" t="s">
        <v>52</v>
      </c>
      <c r="B8" s="12">
        <v>0.7</v>
      </c>
      <c r="C8" s="12">
        <v>0.5</v>
      </c>
      <c r="D8" s="12">
        <v>0.5</v>
      </c>
      <c r="E8" s="3"/>
      <c r="F8" s="3"/>
      <c r="G8" s="3"/>
    </row>
    <row r="9" ht="24.0" customHeight="1">
      <c r="A9" s="9" t="s">
        <v>53</v>
      </c>
      <c r="B9" s="12">
        <v>1.15</v>
      </c>
      <c r="C9" s="12">
        <v>1.0</v>
      </c>
      <c r="D9" s="12">
        <v>0.5</v>
      </c>
      <c r="E9" s="3"/>
      <c r="F9" s="3"/>
      <c r="G9" s="3"/>
    </row>
    <row r="10" ht="24.0" customHeight="1">
      <c r="A10" s="9"/>
      <c r="B10" s="9"/>
      <c r="C10" s="9"/>
      <c r="D10" s="9"/>
      <c r="E10" s="3"/>
      <c r="F10" s="3"/>
      <c r="G10" s="3"/>
    </row>
    <row r="11" ht="24.0" customHeight="1">
      <c r="A11" s="9"/>
      <c r="B11" s="9"/>
      <c r="C11" s="9"/>
      <c r="D11" s="9"/>
      <c r="E11" s="3"/>
      <c r="F11" s="3"/>
      <c r="G11" s="3"/>
    </row>
    <row r="12" ht="24.0" customHeight="1">
      <c r="A12" s="9" t="s">
        <v>57</v>
      </c>
      <c r="B12" s="9" t="s">
        <v>58</v>
      </c>
      <c r="C12" s="9" t="s">
        <v>59</v>
      </c>
      <c r="D12" s="9"/>
      <c r="E12" s="3"/>
      <c r="F12" s="3"/>
      <c r="G12" s="3"/>
    </row>
    <row r="13">
      <c r="A13" s="9" t="s">
        <v>60</v>
      </c>
      <c r="B13" s="12">
        <v>0.8</v>
      </c>
      <c r="C13" s="9" t="s">
        <v>61</v>
      </c>
      <c r="D13" s="9"/>
      <c r="E13" s="3"/>
      <c r="F13" s="3"/>
      <c r="G13" s="3"/>
    </row>
    <row r="14">
      <c r="A14" s="9" t="s">
        <v>62</v>
      </c>
      <c r="B14" s="12">
        <v>0.8</v>
      </c>
      <c r="C14" s="9" t="s">
        <v>63</v>
      </c>
      <c r="D14" s="9"/>
      <c r="E14" s="3"/>
      <c r="F14" s="3"/>
      <c r="G14" s="3"/>
    </row>
    <row r="15">
      <c r="A15" s="9" t="s">
        <v>64</v>
      </c>
      <c r="B15" s="12">
        <v>0.5</v>
      </c>
      <c r="C15" s="9" t="s">
        <v>65</v>
      </c>
      <c r="D15" s="9"/>
      <c r="E15" s="3"/>
      <c r="F15" s="3"/>
      <c r="G15" s="3"/>
    </row>
    <row r="16">
      <c r="A16" s="9" t="s">
        <v>66</v>
      </c>
      <c r="B16" s="12">
        <v>0.9</v>
      </c>
      <c r="C16" s="9" t="s">
        <v>67</v>
      </c>
      <c r="D16" s="9"/>
      <c r="E16" s="3"/>
      <c r="F16" s="3"/>
      <c r="G16" s="3"/>
    </row>
    <row r="17" ht="24.0" customHeight="1">
      <c r="A17" s="9"/>
      <c r="B17" s="9"/>
      <c r="C17" s="9"/>
      <c r="D17" s="9"/>
      <c r="E17" s="3"/>
      <c r="F17" s="3"/>
      <c r="G17" s="3"/>
    </row>
    <row r="18" ht="24.0" customHeight="1">
      <c r="A18" s="9"/>
      <c r="B18" s="9"/>
      <c r="C18" s="9"/>
      <c r="D18" s="9"/>
      <c r="E18" s="3"/>
      <c r="F18" s="3"/>
      <c r="G18" s="3"/>
    </row>
    <row r="19" ht="24.0" customHeight="1">
      <c r="A19" s="9"/>
      <c r="B19" s="9"/>
      <c r="C19" s="9"/>
      <c r="D19" s="9"/>
      <c r="E19" s="3"/>
      <c r="F19" s="3"/>
      <c r="G19" s="3"/>
    </row>
    <row r="20" ht="37.5" customHeight="1">
      <c r="A20" s="8" t="s">
        <v>26</v>
      </c>
      <c r="B20" s="8" t="s">
        <v>69</v>
      </c>
      <c r="C20" s="8" t="s">
        <v>70</v>
      </c>
      <c r="D20" s="8" t="s">
        <v>71</v>
      </c>
      <c r="E20" s="3"/>
      <c r="F20" s="3"/>
      <c r="G20" s="3"/>
    </row>
    <row r="21" ht="36.0" customHeight="1">
      <c r="A21" s="9" t="s">
        <v>54</v>
      </c>
      <c r="B21" s="18">
        <v>40000.0</v>
      </c>
      <c r="C21" s="19">
        <v>0.0</v>
      </c>
      <c r="D21" s="9" t="str">
        <f t="shared" ref="D21:D46" si="1">IF(AND(ISNUMBER(B21),B21&gt;=C21,B21&gt;=0,MOD(B21,1)=0),"OK","Fix quantity")</f>
        <v>OK</v>
      </c>
      <c r="E21" s="3"/>
      <c r="F21" s="3"/>
      <c r="G21" s="3"/>
    </row>
    <row r="22" ht="36.0" customHeight="1">
      <c r="A22" s="9" t="s">
        <v>74</v>
      </c>
      <c r="B22" s="18">
        <v>9000.0</v>
      </c>
      <c r="C22" s="19">
        <v>0.0</v>
      </c>
      <c r="D22" s="9" t="str">
        <f t="shared" si="1"/>
        <v>OK</v>
      </c>
      <c r="E22" s="3"/>
      <c r="F22" s="3"/>
      <c r="G22" s="3"/>
    </row>
    <row r="23" ht="36.0" customHeight="1">
      <c r="A23" s="9" t="s">
        <v>75</v>
      </c>
      <c r="B23" s="18">
        <v>12000.0</v>
      </c>
      <c r="C23" s="19">
        <v>0.0</v>
      </c>
      <c r="D23" s="9" t="str">
        <f t="shared" si="1"/>
        <v>OK</v>
      </c>
      <c r="E23" s="3"/>
      <c r="F23" s="3"/>
      <c r="G23" s="3"/>
    </row>
    <row r="24" ht="36.0" customHeight="1">
      <c r="A24" s="9" t="s">
        <v>77</v>
      </c>
      <c r="B24" s="18">
        <v>14000.0</v>
      </c>
      <c r="C24" s="19">
        <v>0.0</v>
      </c>
      <c r="D24" s="9" t="str">
        <f t="shared" si="1"/>
        <v>OK</v>
      </c>
      <c r="E24" s="3"/>
      <c r="F24" s="3"/>
      <c r="G24" s="3"/>
    </row>
    <row r="25" ht="36.0" customHeight="1">
      <c r="A25" s="9" t="s">
        <v>78</v>
      </c>
      <c r="B25" s="18">
        <v>8000.0</v>
      </c>
      <c r="C25" s="19">
        <v>0.0</v>
      </c>
      <c r="D25" s="9" t="str">
        <f t="shared" si="1"/>
        <v>OK</v>
      </c>
      <c r="E25" s="3"/>
      <c r="F25" s="3"/>
      <c r="G25" s="3"/>
    </row>
    <row r="26" ht="36.0" customHeight="1">
      <c r="A26" s="9" t="s">
        <v>79</v>
      </c>
      <c r="B26" s="18">
        <v>5000.0</v>
      </c>
      <c r="C26" s="19">
        <v>0.0</v>
      </c>
      <c r="D26" s="9" t="str">
        <f t="shared" si="1"/>
        <v>OK</v>
      </c>
      <c r="E26" s="3"/>
      <c r="F26" s="3"/>
      <c r="G26" s="3"/>
    </row>
    <row r="27" ht="36.0" customHeight="1">
      <c r="A27" s="9" t="s">
        <v>81</v>
      </c>
      <c r="B27" s="18">
        <v>6000.0</v>
      </c>
      <c r="C27" s="19">
        <v>0.0</v>
      </c>
      <c r="D27" s="9" t="str">
        <f t="shared" si="1"/>
        <v>OK</v>
      </c>
      <c r="E27" s="3"/>
      <c r="F27" s="3"/>
      <c r="G27" s="3"/>
    </row>
    <row r="28" ht="36.0" customHeight="1">
      <c r="A28" s="9" t="s">
        <v>82</v>
      </c>
      <c r="B28" s="18">
        <v>20000.0</v>
      </c>
      <c r="C28" s="19">
        <v>0.0</v>
      </c>
      <c r="D28" s="9" t="str">
        <f t="shared" si="1"/>
        <v>OK</v>
      </c>
      <c r="E28" s="3"/>
      <c r="F28" s="3"/>
      <c r="G28" s="3"/>
    </row>
    <row r="29" ht="36.0" customHeight="1">
      <c r="A29" s="9" t="s">
        <v>83</v>
      </c>
      <c r="B29" s="18">
        <v>30000.0</v>
      </c>
      <c r="C29" s="19">
        <v>0.0</v>
      </c>
      <c r="D29" s="9" t="str">
        <f t="shared" si="1"/>
        <v>OK</v>
      </c>
      <c r="E29" s="3"/>
      <c r="F29" s="3"/>
      <c r="G29" s="3"/>
    </row>
    <row r="30" ht="36.0" customHeight="1">
      <c r="A30" s="9" t="s">
        <v>85</v>
      </c>
      <c r="B30" s="18">
        <v>7000.0</v>
      </c>
      <c r="C30" s="19">
        <v>0.0</v>
      </c>
      <c r="D30" s="9" t="str">
        <f t="shared" si="1"/>
        <v>OK</v>
      </c>
      <c r="E30" s="3"/>
      <c r="F30" s="3"/>
      <c r="G30" s="3"/>
    </row>
    <row r="31" ht="36.0" customHeight="1">
      <c r="A31" s="9" t="s">
        <v>86</v>
      </c>
      <c r="B31" s="18">
        <v>25000.0</v>
      </c>
      <c r="C31" s="19">
        <v>0.0</v>
      </c>
      <c r="D31" s="9" t="str">
        <f t="shared" si="1"/>
        <v>OK</v>
      </c>
      <c r="E31" s="3"/>
      <c r="F31" s="3"/>
      <c r="G31" s="3"/>
    </row>
    <row r="32" ht="36.0" customHeight="1">
      <c r="A32" s="9" t="s">
        <v>88</v>
      </c>
      <c r="B32" s="18">
        <v>18000.0</v>
      </c>
      <c r="C32" s="19">
        <v>0.0</v>
      </c>
      <c r="D32" s="9" t="str">
        <f t="shared" si="1"/>
        <v>OK</v>
      </c>
      <c r="E32" s="3"/>
      <c r="F32" s="3"/>
      <c r="G32" s="3"/>
    </row>
    <row r="33" ht="36.0" customHeight="1">
      <c r="A33" s="9" t="s">
        <v>91</v>
      </c>
      <c r="B33" s="18">
        <v>6000.0</v>
      </c>
      <c r="C33" s="19">
        <v>0.0</v>
      </c>
      <c r="D33" s="9" t="str">
        <f t="shared" si="1"/>
        <v>OK</v>
      </c>
      <c r="E33" s="3"/>
      <c r="F33" s="3"/>
      <c r="G33" s="3"/>
    </row>
    <row r="34" ht="36.0" customHeight="1">
      <c r="A34" s="9" t="s">
        <v>93</v>
      </c>
      <c r="B34" s="18">
        <v>4000.0</v>
      </c>
      <c r="C34" s="19">
        <v>0.0</v>
      </c>
      <c r="D34" s="9" t="str">
        <f t="shared" si="1"/>
        <v>OK</v>
      </c>
      <c r="E34" s="3"/>
      <c r="F34" s="3"/>
      <c r="G34" s="3"/>
    </row>
    <row r="35" ht="36.0" customHeight="1">
      <c r="A35" s="9" t="s">
        <v>96</v>
      </c>
      <c r="B35" s="18">
        <v>5000.0</v>
      </c>
      <c r="C35" s="19">
        <v>0.0</v>
      </c>
      <c r="D35" s="9" t="str">
        <f t="shared" si="1"/>
        <v>OK</v>
      </c>
      <c r="E35" s="3"/>
      <c r="F35" s="3"/>
      <c r="G35" s="3"/>
    </row>
    <row r="36" ht="36.0" customHeight="1">
      <c r="A36" s="9" t="s">
        <v>98</v>
      </c>
      <c r="B36" s="18">
        <v>9000.0</v>
      </c>
      <c r="C36" s="19">
        <v>0.0</v>
      </c>
      <c r="D36" s="9" t="str">
        <f t="shared" si="1"/>
        <v>OK</v>
      </c>
      <c r="E36" s="3"/>
      <c r="F36" s="3"/>
      <c r="G36" s="3"/>
    </row>
    <row r="37" ht="36.0" customHeight="1">
      <c r="A37" s="9" t="s">
        <v>102</v>
      </c>
      <c r="B37" s="18">
        <v>45000.0</v>
      </c>
      <c r="C37" s="19">
        <v>45000.0</v>
      </c>
      <c r="D37" s="9" t="str">
        <f t="shared" si="1"/>
        <v>OK</v>
      </c>
      <c r="E37" s="3"/>
      <c r="F37" s="3"/>
      <c r="G37" s="3"/>
    </row>
    <row r="38" ht="36.0" customHeight="1">
      <c r="A38" s="9" t="s">
        <v>106</v>
      </c>
      <c r="B38" s="18">
        <v>14000.0</v>
      </c>
      <c r="C38" s="19">
        <v>14000.0</v>
      </c>
      <c r="D38" s="9" t="str">
        <f t="shared" si="1"/>
        <v>OK</v>
      </c>
      <c r="E38" s="3"/>
      <c r="F38" s="3"/>
      <c r="G38" s="3"/>
    </row>
    <row r="39" ht="36.0" customHeight="1">
      <c r="A39" s="9" t="s">
        <v>111</v>
      </c>
      <c r="B39" s="18">
        <v>12000.0</v>
      </c>
      <c r="C39" s="19">
        <v>12000.0</v>
      </c>
      <c r="D39" s="9" t="str">
        <f t="shared" si="1"/>
        <v>OK</v>
      </c>
      <c r="E39" s="3"/>
      <c r="F39" s="3"/>
      <c r="G39" s="3"/>
    </row>
    <row r="40" ht="36.0" customHeight="1">
      <c r="A40" s="9" t="s">
        <v>114</v>
      </c>
      <c r="B40" s="18">
        <v>9000.0</v>
      </c>
      <c r="C40" s="19">
        <v>9000.0</v>
      </c>
      <c r="D40" s="9" t="str">
        <f t="shared" si="1"/>
        <v>OK</v>
      </c>
      <c r="E40" s="3"/>
      <c r="F40" s="3"/>
      <c r="G40" s="3"/>
    </row>
    <row r="41" ht="36.0" customHeight="1">
      <c r="A41" s="9" t="s">
        <v>118</v>
      </c>
      <c r="B41" s="18">
        <v>16000.0</v>
      </c>
      <c r="C41" s="19">
        <v>16000.0</v>
      </c>
      <c r="D41" s="9" t="str">
        <f t="shared" si="1"/>
        <v>OK</v>
      </c>
      <c r="E41" s="3"/>
      <c r="F41" s="3"/>
      <c r="G41" s="3"/>
    </row>
    <row r="42" ht="36.0" customHeight="1">
      <c r="A42" s="9" t="s">
        <v>123</v>
      </c>
      <c r="B42" s="18">
        <v>7000.0</v>
      </c>
      <c r="C42" s="19">
        <v>7000.0</v>
      </c>
      <c r="D42" s="9" t="str">
        <f t="shared" si="1"/>
        <v>OK</v>
      </c>
      <c r="E42" s="3"/>
      <c r="F42" s="3"/>
      <c r="G42" s="3"/>
    </row>
    <row r="43" ht="36.0" customHeight="1">
      <c r="A43" s="9" t="s">
        <v>127</v>
      </c>
      <c r="B43" s="18">
        <v>20000.0</v>
      </c>
      <c r="C43" s="19">
        <v>20000.0</v>
      </c>
      <c r="D43" s="9" t="str">
        <f t="shared" si="1"/>
        <v>OK</v>
      </c>
      <c r="E43" s="3"/>
      <c r="F43" s="3"/>
      <c r="G43" s="3"/>
    </row>
    <row r="44" ht="36.0" customHeight="1">
      <c r="A44" s="9" t="s">
        <v>128</v>
      </c>
      <c r="B44" s="18">
        <v>9000.0</v>
      </c>
      <c r="C44" s="19">
        <v>9000.0</v>
      </c>
      <c r="D44" s="9" t="str">
        <f t="shared" si="1"/>
        <v>OK</v>
      </c>
      <c r="E44" s="3"/>
      <c r="F44" s="3"/>
      <c r="G44" s="3"/>
    </row>
    <row r="45" ht="36.0" customHeight="1">
      <c r="A45" s="9" t="s">
        <v>130</v>
      </c>
      <c r="B45" s="18">
        <v>12000.0</v>
      </c>
      <c r="C45" s="19">
        <v>12000.0</v>
      </c>
      <c r="D45" s="9" t="str">
        <f t="shared" si="1"/>
        <v>OK</v>
      </c>
      <c r="E45" s="3"/>
      <c r="F45" s="3"/>
      <c r="G45" s="3"/>
    </row>
    <row r="46" ht="36.0" customHeight="1">
      <c r="A46" s="9" t="s">
        <v>131</v>
      </c>
      <c r="B46" s="18">
        <v>22000.0</v>
      </c>
      <c r="C46" s="19">
        <v>22000.0</v>
      </c>
      <c r="D46" s="9" t="str">
        <f t="shared" si="1"/>
        <v>OK</v>
      </c>
      <c r="E46" s="3"/>
      <c r="F46" s="3"/>
      <c r="G46" s="3"/>
    </row>
    <row r="47" ht="24.0" customHeight="1">
      <c r="A47" s="3"/>
      <c r="B47" s="3"/>
      <c r="C47" s="3"/>
      <c r="D47" s="3"/>
      <c r="E47" s="3"/>
      <c r="F47" s="3"/>
      <c r="G47" s="3"/>
    </row>
    <row r="48" ht="24.0" customHeight="1">
      <c r="A48" s="3"/>
      <c r="B48" s="3"/>
      <c r="C48" s="3"/>
      <c r="D48" s="3"/>
      <c r="E48" s="3"/>
      <c r="F48" s="3"/>
      <c r="G48" s="3"/>
    </row>
    <row r="49" ht="24.0" customHeight="1">
      <c r="A49" s="3" t="s">
        <v>132</v>
      </c>
      <c r="B49" s="3"/>
      <c r="C49" s="3"/>
      <c r="D49" s="3"/>
      <c r="E49" s="3"/>
      <c r="F49" s="3"/>
      <c r="G49" s="3"/>
    </row>
    <row r="50" ht="24.0" customHeight="1">
      <c r="A50" s="3" t="s">
        <v>133</v>
      </c>
      <c r="B50" s="3"/>
      <c r="C50" s="3"/>
      <c r="D50" s="3"/>
      <c r="E50" s="3"/>
      <c r="F50" s="3"/>
      <c r="G50" s="3"/>
    </row>
    <row r="51" ht="24.0" customHeight="1">
      <c r="A51" s="3" t="s">
        <v>134</v>
      </c>
      <c r="B51" s="3"/>
      <c r="C51" s="3"/>
      <c r="D51" s="3"/>
      <c r="E51" s="3"/>
      <c r="F51" s="3"/>
      <c r="G51" s="3"/>
    </row>
    <row r="52" ht="24.0" customHeight="1">
      <c r="A52" s="3" t="s">
        <v>135</v>
      </c>
      <c r="B52" s="3"/>
      <c r="C52" s="3"/>
      <c r="D52" s="3"/>
      <c r="E52" s="3"/>
      <c r="F52" s="3"/>
      <c r="G52" s="3"/>
    </row>
    <row r="53" ht="24.0" customHeight="1">
      <c r="A53" s="3" t="s">
        <v>136</v>
      </c>
      <c r="B53" s="3"/>
      <c r="C53" s="3"/>
      <c r="D53" s="3"/>
      <c r="E53" s="3"/>
      <c r="F53" s="3"/>
      <c r="G53" s="3"/>
    </row>
    <row r="54" ht="24.0" customHeight="1">
      <c r="A54" s="3" t="s">
        <v>137</v>
      </c>
      <c r="B54" s="3"/>
      <c r="C54" s="3"/>
      <c r="D54" s="3"/>
      <c r="E54" s="3"/>
      <c r="F54" s="3"/>
      <c r="G54" s="3"/>
    </row>
    <row r="55" ht="24.0" customHeight="1">
      <c r="A55" s="3" t="s">
        <v>138</v>
      </c>
      <c r="B55" s="3"/>
      <c r="C55" s="3"/>
      <c r="D55" s="3"/>
      <c r="E55" s="3"/>
      <c r="F55" s="3"/>
      <c r="G55" s="3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ErrorMessage="1" sqref="B21:B46">
      <formula1>AND(ISNUMBER(B21),B21&gt;=C21,B21&gt;=0,MOD(B21,1)=0)</formula1>
    </dataValidation>
    <dataValidation type="decimal" operator="greaterThanOrEqual" allowBlank="1" showErrorMessage="1" sqref="B7:B9">
      <formula1>0.0</formula1>
    </dataValidation>
    <dataValidation type="decimal" allowBlank="1" showErrorMessage="1" sqref="B13:B16">
      <formula1>0.0</formula1>
      <formula2>1.0</formula2>
    </dataValidation>
    <dataValidation type="custom" allowBlank="1" showErrorMessage="1" sqref="C7:D9">
      <formula1>AND(ISNUMBER(C7),C7&gt;=0,C7&lt;1.0000001,OR(COLUMN()&lt;&gt;4,C7&lt;1))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20.0"/>
    <col customWidth="1" min="3" max="10" width="21.0"/>
    <col customWidth="1" min="11" max="26" width="8.63"/>
  </cols>
  <sheetData>
    <row r="1" ht="24.0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ht="24.0" customHeight="1">
      <c r="A2" s="24" t="s">
        <v>142</v>
      </c>
      <c r="B2" s="3"/>
      <c r="C2" s="3"/>
      <c r="D2" s="3"/>
      <c r="E2" s="3"/>
      <c r="F2" s="3"/>
      <c r="G2" s="3"/>
      <c r="H2" s="3"/>
      <c r="I2" s="3"/>
      <c r="J2" s="3"/>
    </row>
    <row r="3" ht="24.0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ht="24.0" customHeight="1">
      <c r="A4" s="25" t="s">
        <v>143</v>
      </c>
      <c r="B4" s="3"/>
      <c r="C4" s="3"/>
      <c r="D4" s="3"/>
      <c r="E4" s="3"/>
      <c r="F4" s="3"/>
      <c r="G4" s="3"/>
      <c r="H4" s="3"/>
      <c r="I4" s="3"/>
      <c r="J4" s="3"/>
    </row>
    <row r="5" ht="24.0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ht="37.5" customHeight="1">
      <c r="A6" s="8" t="s">
        <v>144</v>
      </c>
      <c r="B6" s="8" t="s">
        <v>22</v>
      </c>
      <c r="C6" s="8" t="s">
        <v>145</v>
      </c>
      <c r="D6" s="8" t="s">
        <v>146</v>
      </c>
      <c r="E6" s="8" t="s">
        <v>147</v>
      </c>
      <c r="F6" s="8" t="s">
        <v>148</v>
      </c>
      <c r="G6" s="8" t="s">
        <v>149</v>
      </c>
      <c r="H6" s="8" t="s">
        <v>150</v>
      </c>
      <c r="I6" s="8" t="s">
        <v>151</v>
      </c>
      <c r="J6" s="8" t="s">
        <v>152</v>
      </c>
    </row>
    <row r="7" ht="34.5" customHeight="1">
      <c r="A7" s="9" t="s">
        <v>31</v>
      </c>
      <c r="B7" s="3" t="s">
        <v>27</v>
      </c>
      <c r="C7" s="26">
        <f>SUMIFS('Profit model'!$L$7:$L$162,'Profit model'!$C$7:$C$162,B7,'Profit model'!$Q$7:$Q$162,1)</f>
        <v>15130500</v>
      </c>
      <c r="D7" s="26">
        <f>SUMIFS('Profit model'!$U$7:$U$162,'Profit model'!$C$7:$C$162,B7,'Profit model'!$Q$7:$Q$162,1)</f>
        <v>3185000</v>
      </c>
      <c r="E7" s="26">
        <f>SUMIFS('Profit model'!$K$7:$K$162,'Profit model'!$C$7:$C$162,B7,'Profit model'!$Q$7:$Q$162,1)</f>
        <v>29497931.95</v>
      </c>
      <c r="F7" s="26">
        <f>SUMIFS('Profit model'!$N$7:$N$162,'Profit model'!$C$7:$C$162,B7,'Profit model'!$Q$7:$Q$162,1)</f>
        <v>14367431.95</v>
      </c>
      <c r="G7" s="27">
        <f t="shared" ref="G7:G18" si="1">IF(C7=0,0,F7/C7)</f>
        <v>0.9495675589</v>
      </c>
      <c r="H7" s="26">
        <f>SUMIFS('Profit model'!$O$7:$O$162,'Profit model'!$C$7:$C$162,B7,'Profit model'!$Q$7:$Q$162,1)</f>
        <v>0</v>
      </c>
      <c r="I7" s="26">
        <f t="shared" ref="I7:I9" si="2">F7-F7</f>
        <v>0</v>
      </c>
      <c r="J7" s="26">
        <f>E7-SUM('Source data'!$N$7:$N$22)</f>
        <v>16260.45</v>
      </c>
    </row>
    <row r="8" ht="34.5" customHeight="1">
      <c r="A8" s="9" t="s">
        <v>31</v>
      </c>
      <c r="B8" s="3" t="s">
        <v>52</v>
      </c>
      <c r="C8" s="26">
        <f>SUMIFS('Profit model'!$L$7:$L$162,'Profit model'!$C$7:$C$162,B8,'Profit model'!$Q$7:$Q$162,1)</f>
        <v>15130500</v>
      </c>
      <c r="D8" s="26">
        <f>SUMIFS('Profit model'!$U$7:$U$162,'Profit model'!$C$7:$C$162,B8,'Profit model'!$Q$7:$Q$162,1)</f>
        <v>3185000</v>
      </c>
      <c r="E8" s="26">
        <f>SUMIFS('Profit model'!$K$7:$K$162,'Profit model'!$C$7:$C$162,B8,'Profit model'!$Q$7:$Q$162,1)</f>
        <v>21339804.05</v>
      </c>
      <c r="F8" s="26">
        <f>SUMIFS('Profit model'!$N$7:$N$162,'Profit model'!$C$7:$C$162,B8,'Profit model'!$Q$7:$Q$162,1)</f>
        <v>6209304.048</v>
      </c>
      <c r="G8" s="27">
        <f t="shared" si="1"/>
        <v>0.4103832687</v>
      </c>
      <c r="H8" s="26">
        <f>SUMIFS('Profit model'!$O$7:$O$162,'Profit model'!$C$7:$C$162,B8,'Profit model'!$Q$7:$Q$162,1)</f>
        <v>3942867.25</v>
      </c>
      <c r="I8" s="26">
        <f t="shared" si="2"/>
        <v>0</v>
      </c>
      <c r="J8" s="26">
        <f>E8-SUM('Source data'!$N$7:$N$22)</f>
        <v>-8141867.453</v>
      </c>
    </row>
    <row r="9" ht="34.5" customHeight="1">
      <c r="A9" s="9" t="s">
        <v>31</v>
      </c>
      <c r="B9" s="3" t="s">
        <v>53</v>
      </c>
      <c r="C9" s="26">
        <f>SUMIFS('Profit model'!$L$7:$L$162,'Profit model'!$C$7:$C$162,B9,'Profit model'!$Q$7:$Q$162,1)</f>
        <v>15130500</v>
      </c>
      <c r="D9" s="26">
        <f>SUMIFS('Profit model'!$U$7:$U$162,'Profit model'!$C$7:$C$162,B9,'Profit model'!$Q$7:$Q$162,1)</f>
        <v>3185000</v>
      </c>
      <c r="E9" s="26">
        <f>SUMIFS('Profit model'!$K$7:$K$162,'Profit model'!$C$7:$C$162,B9,'Profit model'!$Q$7:$Q$162,1)</f>
        <v>31267503.24</v>
      </c>
      <c r="F9" s="26">
        <f>SUMIFS('Profit model'!$N$7:$N$162,'Profit model'!$C$7:$C$162,B9,'Profit model'!$Q$7:$Q$162,1)</f>
        <v>16137003.24</v>
      </c>
      <c r="G9" s="27">
        <f t="shared" si="1"/>
        <v>1.066521479</v>
      </c>
      <c r="H9" s="26">
        <f>SUMIFS('Profit model'!$O$7:$O$162,'Profit model'!$C$7:$C$162,B9,'Profit model'!$Q$7:$Q$162,1)</f>
        <v>0</v>
      </c>
      <c r="I9" s="26">
        <f t="shared" si="2"/>
        <v>0</v>
      </c>
      <c r="J9" s="26">
        <f>E9-SUM('Source data'!$N$7:$N$22)</f>
        <v>1785831.743</v>
      </c>
    </row>
    <row r="10" ht="34.5" customHeight="1">
      <c r="A10" s="9" t="s">
        <v>38</v>
      </c>
      <c r="B10" s="3" t="s">
        <v>27</v>
      </c>
      <c r="C10" s="26">
        <f>SUMIFS('Profit model'!$L$7:$L$162,'Profit model'!$C$7:$C$162,B10,'Profit model'!$R$7:$R$162,1)</f>
        <v>27609500</v>
      </c>
      <c r="D10" s="26">
        <f>SUMIFS('Profit model'!$U$7:$U$162,'Profit model'!$C$7:$C$162,B10,'Profit model'!$R$7:$R$162,1)</f>
        <v>17164000</v>
      </c>
      <c r="E10" s="26">
        <f>SUMIFS('Profit model'!$K$7:$K$162,'Profit model'!$C$7:$C$162,B10,'Profit model'!$R$7:$R$162,1)</f>
        <v>49837412.45</v>
      </c>
      <c r="F10" s="26">
        <f>SUMIFS('Profit model'!$N$7:$N$162,'Profit model'!$C$7:$C$162,B10,'Profit model'!$R$7:$R$162,1)</f>
        <v>22227912.45</v>
      </c>
      <c r="G10" s="27">
        <f t="shared" si="1"/>
        <v>0.8050820352</v>
      </c>
      <c r="H10" s="26">
        <f>SUMIFS('Profit model'!$O$7:$O$162,'Profit model'!$C$7:$C$162,B10,'Profit model'!$R$7:$R$162,1)</f>
        <v>0</v>
      </c>
      <c r="I10" s="26">
        <f t="shared" ref="I10:I12" si="3">F10-F7</f>
        <v>7860480.5</v>
      </c>
      <c r="J10" s="26">
        <f>E10-SUM('Source data'!$N$7:$N$22)</f>
        <v>20355740.95</v>
      </c>
    </row>
    <row r="11" ht="34.5" customHeight="1">
      <c r="A11" s="9" t="s">
        <v>38</v>
      </c>
      <c r="B11" s="3" t="s">
        <v>52</v>
      </c>
      <c r="C11" s="26">
        <f>SUMIFS('Profit model'!$L$7:$L$162,'Profit model'!$C$7:$C$162,B11,'Profit model'!$R$7:$R$162,1)</f>
        <v>27609500</v>
      </c>
      <c r="D11" s="26">
        <f>SUMIFS('Profit model'!$U$7:$U$162,'Profit model'!$C$7:$C$162,B11,'Profit model'!$R$7:$R$162,1)</f>
        <v>17164000</v>
      </c>
      <c r="E11" s="26">
        <f>SUMIFS('Profit model'!$K$7:$K$162,'Profit model'!$C$7:$C$162,B11,'Profit model'!$R$7:$R$162,1)</f>
        <v>36670068.07</v>
      </c>
      <c r="F11" s="26">
        <f>SUMIFS('Profit model'!$N$7:$N$162,'Profit model'!$C$7:$C$162,B11,'Profit model'!$R$7:$R$162,1)</f>
        <v>9060568.073</v>
      </c>
      <c r="G11" s="27">
        <f t="shared" si="1"/>
        <v>0.3281684954</v>
      </c>
      <c r="H11" s="26">
        <f>SUMIFS('Profit model'!$O$7:$O$162,'Profit model'!$C$7:$C$162,B11,'Profit model'!$R$7:$R$162,1)</f>
        <v>6472967.5</v>
      </c>
      <c r="I11" s="26">
        <f t="shared" si="3"/>
        <v>2851264.025</v>
      </c>
      <c r="J11" s="26">
        <f>E11-SUM('Source data'!$N$7:$N$22)</f>
        <v>7188396.573</v>
      </c>
    </row>
    <row r="12" ht="34.5" customHeight="1">
      <c r="A12" s="9" t="s">
        <v>38</v>
      </c>
      <c r="B12" s="3" t="s">
        <v>53</v>
      </c>
      <c r="C12" s="26">
        <f>SUMIFS('Profit model'!$L$7:$L$162,'Profit model'!$C$7:$C$162,B12,'Profit model'!$R$7:$R$162,1)</f>
        <v>27609500</v>
      </c>
      <c r="D12" s="26">
        <f>SUMIFS('Profit model'!$U$7:$U$162,'Profit model'!$C$7:$C$162,B12,'Profit model'!$R$7:$R$162,1)</f>
        <v>17164000</v>
      </c>
      <c r="E12" s="26">
        <f>SUMIFS('Profit model'!$K$7:$K$162,'Profit model'!$C$7:$C$162,B12,'Profit model'!$R$7:$R$162,1)</f>
        <v>53014399.32</v>
      </c>
      <c r="F12" s="26">
        <f>SUMIFS('Profit model'!$N$7:$N$162,'Profit model'!$C$7:$C$162,B12,'Profit model'!$R$7:$R$162,1)</f>
        <v>25404899.32</v>
      </c>
      <c r="G12" s="27">
        <f t="shared" si="1"/>
        <v>0.9201506481</v>
      </c>
      <c r="H12" s="26">
        <f>SUMIFS('Profit model'!$O$7:$O$162,'Profit model'!$C$7:$C$162,B12,'Profit model'!$R$7:$R$162,1)</f>
        <v>0</v>
      </c>
      <c r="I12" s="26">
        <f t="shared" si="3"/>
        <v>9267896.075</v>
      </c>
      <c r="J12" s="26">
        <f>E12-SUM('Source data'!$N$7:$N$22)</f>
        <v>23532727.82</v>
      </c>
    </row>
    <row r="13" ht="34.5" customHeight="1">
      <c r="A13" s="9" t="s">
        <v>39</v>
      </c>
      <c r="B13" s="3" t="s">
        <v>27</v>
      </c>
      <c r="C13" s="26">
        <f>SUMIFS('Profit model'!$L$7:$L$162,'Profit model'!$C$7:$C$162,B13,'Profit model'!$S$7:$S$162,1)</f>
        <v>12124500</v>
      </c>
      <c r="D13" s="26">
        <f>SUMIFS('Profit model'!$U$7:$U$162,'Profit model'!$C$7:$C$162,B13,'Profit model'!$S$7:$S$162,1)</f>
        <v>3185000</v>
      </c>
      <c r="E13" s="26">
        <f>SUMIFS('Profit model'!$K$7:$K$162,'Profit model'!$C$7:$C$162,B13,'Profit model'!$S$7:$S$162,1)</f>
        <v>25243279.45</v>
      </c>
      <c r="F13" s="26">
        <f>SUMIFS('Profit model'!$N$7:$N$162,'Profit model'!$C$7:$C$162,B13,'Profit model'!$S$7:$S$162,1)</f>
        <v>13118779.45</v>
      </c>
      <c r="G13" s="27">
        <f t="shared" si="1"/>
        <v>1.082005811</v>
      </c>
      <c r="H13" s="26">
        <f>SUMIFS('Profit model'!$O$7:$O$162,'Profit model'!$C$7:$C$162,B13,'Profit model'!$S$7:$S$162,1)</f>
        <v>0</v>
      </c>
      <c r="I13" s="26">
        <f t="shared" ref="I13:I15" si="4">F13-F7</f>
        <v>-1248652.5</v>
      </c>
      <c r="J13" s="26">
        <f>E13-SUM('Source data'!$N$7:$N$22)</f>
        <v>-4238392.05</v>
      </c>
    </row>
    <row r="14" ht="34.5" customHeight="1">
      <c r="A14" s="9" t="s">
        <v>39</v>
      </c>
      <c r="B14" s="3" t="s">
        <v>52</v>
      </c>
      <c r="C14" s="26">
        <f>SUMIFS('Profit model'!$L$7:$L$162,'Profit model'!$C$7:$C$162,B14,'Profit model'!$S$7:$S$162,1)</f>
        <v>12124500</v>
      </c>
      <c r="D14" s="26">
        <f>SUMIFS('Profit model'!$U$7:$U$162,'Profit model'!$C$7:$C$162,B14,'Profit model'!$S$7:$S$162,1)</f>
        <v>3185000</v>
      </c>
      <c r="E14" s="26">
        <f>SUMIFS('Profit model'!$K$7:$K$162,'Profit model'!$C$7:$C$162,B14,'Profit model'!$S$7:$S$162,1)</f>
        <v>18445693.92</v>
      </c>
      <c r="F14" s="26">
        <f>SUMIFS('Profit model'!$N$7:$N$162,'Profit model'!$C$7:$C$162,B14,'Profit model'!$S$7:$S$162,1)</f>
        <v>6321193.923</v>
      </c>
      <c r="G14" s="27">
        <f t="shared" si="1"/>
        <v>0.5213570805</v>
      </c>
      <c r="H14" s="26">
        <f>SUMIFS('Profit model'!$O$7:$O$162,'Profit model'!$C$7:$C$162,B14,'Profit model'!$S$7:$S$162,1)</f>
        <v>2980346</v>
      </c>
      <c r="I14" s="26">
        <f t="shared" si="4"/>
        <v>111889.875</v>
      </c>
      <c r="J14" s="26">
        <f>E14-SUM('Source data'!$N$7:$N$22)</f>
        <v>-11035977.58</v>
      </c>
    </row>
    <row r="15" ht="34.5" customHeight="1">
      <c r="A15" s="9" t="s">
        <v>39</v>
      </c>
      <c r="B15" s="3" t="s">
        <v>53</v>
      </c>
      <c r="C15" s="26">
        <f>SUMIFS('Profit model'!$L$7:$L$162,'Profit model'!$C$7:$C$162,B15,'Profit model'!$S$7:$S$162,1)</f>
        <v>12124500</v>
      </c>
      <c r="D15" s="26">
        <f>SUMIFS('Profit model'!$U$7:$U$162,'Profit model'!$C$7:$C$162,B15,'Profit model'!$S$7:$S$162,1)</f>
        <v>3185000</v>
      </c>
      <c r="E15" s="26">
        <f>SUMIFS('Profit model'!$K$7:$K$162,'Profit model'!$C$7:$C$162,B15,'Profit model'!$S$7:$S$162,1)</f>
        <v>26803727.87</v>
      </c>
      <c r="F15" s="26">
        <f>SUMIFS('Profit model'!$N$7:$N$162,'Profit model'!$C$7:$C$162,B15,'Profit model'!$S$7:$S$162,1)</f>
        <v>14679227.87</v>
      </c>
      <c r="G15" s="27">
        <f t="shared" si="1"/>
        <v>1.210707895</v>
      </c>
      <c r="H15" s="26">
        <f>SUMIFS('Profit model'!$O$7:$O$162,'Profit model'!$C$7:$C$162,B15,'Profit model'!$S$7:$S$162,1)</f>
        <v>0</v>
      </c>
      <c r="I15" s="26">
        <f t="shared" si="4"/>
        <v>-1457775.375</v>
      </c>
      <c r="J15" s="26">
        <f>E15-SUM('Source data'!$N$7:$N$22)</f>
        <v>-2677943.633</v>
      </c>
    </row>
    <row r="16" ht="34.5" customHeight="1">
      <c r="A16" s="9" t="str">
        <f>IF(26-(COUNTIFS('Product decisions'!$J$7:$J$32,"In-Store")+COUNTIFS('Product decisions'!$J$7:$J$32,"Online-Only")+COUNTIFS('Product decisions'!$J$7:$J$32,"Removed"))&gt;0,"Team choice (partial)","Team choice")</f>
        <v>Team choice</v>
      </c>
      <c r="B16" s="3" t="s">
        <v>27</v>
      </c>
      <c r="C16" s="26">
        <f>SUMIFS('Profit model'!$L$7:$L$162,'Profit model'!$C$7:$C$162,B16,'Profit model'!$T$7:$T$162,1)</f>
        <v>13804500</v>
      </c>
      <c r="D16" s="26">
        <f>SUMIFS('Profit model'!$U$7:$U$162,'Profit model'!$C$7:$C$162,B16,'Profit model'!$T$7:$T$162,1)</f>
        <v>1709000</v>
      </c>
      <c r="E16" s="26">
        <f>SUMIFS('Profit model'!$K$7:$K$162,'Profit model'!$C$7:$C$162,B16,'Profit model'!$T$7:$T$162,1)</f>
        <v>27703646.95</v>
      </c>
      <c r="F16" s="26">
        <f>SUMIFS('Profit model'!$N$7:$N$162,'Profit model'!$C$7:$C$162,B16,'Profit model'!$T$7:$T$162,1)</f>
        <v>13899146.95</v>
      </c>
      <c r="G16" s="27">
        <f t="shared" si="1"/>
        <v>1.006856239</v>
      </c>
      <c r="H16" s="26">
        <f>SUMIFS('Profit model'!$O$7:$O$162,'Profit model'!$C$7:$C$162,B16,'Profit model'!$T$7:$T$162,1)</f>
        <v>0</v>
      </c>
      <c r="I16" s="26">
        <f t="shared" ref="I16:I18" si="5">F16-F7</f>
        <v>-468285</v>
      </c>
      <c r="J16" s="26">
        <f>E16-SUM('Source data'!$N$7:$N$22)</f>
        <v>-1778024.55</v>
      </c>
    </row>
    <row r="17" ht="34.5" customHeight="1">
      <c r="A17" s="9" t="str">
        <f>IF(26-(COUNTIFS('Product decisions'!$J$7:$J$32,"In-Store")+COUNTIFS('Product decisions'!$J$7:$J$32,"Online-Only")+COUNTIFS('Product decisions'!$J$7:$J$32,"Removed"))&gt;0,"Team choice (partial)","Team choice")</f>
        <v>Team choice</v>
      </c>
      <c r="B17" s="3" t="s">
        <v>52</v>
      </c>
      <c r="C17" s="26">
        <f>SUMIFS('Profit model'!$L$7:$L$162,'Profit model'!$C$7:$C$162,B17,'Profit model'!$T$7:$T$162,1)</f>
        <v>13804500</v>
      </c>
      <c r="D17" s="26">
        <f>SUMIFS('Profit model'!$U$7:$U$162,'Profit model'!$C$7:$C$162,B17,'Profit model'!$T$7:$T$162,1)</f>
        <v>1709000</v>
      </c>
      <c r="E17" s="26">
        <f>SUMIFS('Profit model'!$K$7:$K$162,'Profit model'!$C$7:$C$162,B17,'Profit model'!$T$7:$T$162,1)</f>
        <v>20037704.8</v>
      </c>
      <c r="F17" s="26">
        <f>SUMIFS('Profit model'!$N$7:$N$162,'Profit model'!$C$7:$C$162,B17,'Profit model'!$T$7:$T$162,1)</f>
        <v>6233204.798</v>
      </c>
      <c r="G17" s="27">
        <f t="shared" si="1"/>
        <v>0.4515342676</v>
      </c>
      <c r="H17" s="26">
        <f>SUMIFS('Profit model'!$O$7:$O$162,'Profit model'!$C$7:$C$162,B17,'Profit model'!$T$7:$T$162,1)</f>
        <v>3614026.25</v>
      </c>
      <c r="I17" s="26">
        <f t="shared" si="5"/>
        <v>23900.75</v>
      </c>
      <c r="J17" s="26">
        <f>E17-SUM('Source data'!$N$7:$N$22)</f>
        <v>-9443966.703</v>
      </c>
    </row>
    <row r="18" ht="34.5" customHeight="1">
      <c r="A18" s="9" t="str">
        <f>IF(26-(COUNTIFS('Product decisions'!$J$7:$J$32,"In-Store")+COUNTIFS('Product decisions'!$J$7:$J$32,"Online-Only")+COUNTIFS('Product decisions'!$J$7:$J$32,"Removed"))&gt;0,"Team choice (partial)","Team choice")</f>
        <v>Team choice</v>
      </c>
      <c r="B18" s="3" t="s">
        <v>53</v>
      </c>
      <c r="C18" s="26">
        <f>SUMIFS('Profit model'!$L$7:$L$162,'Profit model'!$C$7:$C$162,B18,'Profit model'!$T$7:$T$162,1)</f>
        <v>13804500</v>
      </c>
      <c r="D18" s="26">
        <f>SUMIFS('Profit model'!$U$7:$U$162,'Profit model'!$C$7:$C$162,B18,'Profit model'!$T$7:$T$162,1)</f>
        <v>1709000</v>
      </c>
      <c r="E18" s="26">
        <f>SUMIFS('Profit model'!$K$7:$K$162,'Profit model'!$C$7:$C$162,B18,'Profit model'!$T$7:$T$162,1)</f>
        <v>29362775.49</v>
      </c>
      <c r="F18" s="26">
        <f>SUMIFS('Profit model'!$N$7:$N$162,'Profit model'!$C$7:$C$162,B18,'Profit model'!$T$7:$T$162,1)</f>
        <v>15558275.49</v>
      </c>
      <c r="G18" s="27">
        <f t="shared" si="1"/>
        <v>1.127043753</v>
      </c>
      <c r="H18" s="26">
        <f>SUMIFS('Profit model'!$O$7:$O$162,'Profit model'!$C$7:$C$162,B18,'Profit model'!$T$7:$T$162,1)</f>
        <v>0</v>
      </c>
      <c r="I18" s="26">
        <f t="shared" si="5"/>
        <v>-578727.75</v>
      </c>
      <c r="J18" s="26">
        <f>E18-SUM('Source data'!$N$7:$N$22)</f>
        <v>-118896.0075</v>
      </c>
    </row>
    <row r="19" ht="24.0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ht="24.0" customHeight="1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ht="45.0" customHeight="1">
      <c r="A21" s="8" t="s">
        <v>144</v>
      </c>
      <c r="B21" s="8" t="s">
        <v>5</v>
      </c>
      <c r="C21" s="8" t="s">
        <v>10</v>
      </c>
      <c r="D21" s="8" t="s">
        <v>200</v>
      </c>
      <c r="E21" s="8" t="s">
        <v>201</v>
      </c>
      <c r="F21" s="8" t="s">
        <v>202</v>
      </c>
      <c r="G21" s="8" t="s">
        <v>203</v>
      </c>
      <c r="H21" s="8" t="s">
        <v>204</v>
      </c>
      <c r="I21" s="8" t="s">
        <v>205</v>
      </c>
      <c r="J21" s="8" t="s">
        <v>207</v>
      </c>
    </row>
    <row r="22" ht="33.75" customHeight="1">
      <c r="A22" s="9" t="s">
        <v>31</v>
      </c>
      <c r="B22" s="9">
        <f>COUNTIFS('Product decisions'!$C$7:$C$32,"In-Store")</f>
        <v>13</v>
      </c>
      <c r="C22" s="9">
        <f>SUMIFS('Profit model'!$V$7:$V$162,'Profit model'!$C$7:$C$162,"Base",'Profit model'!$B$7:$B$162,"In-Store",'Profit model'!$Q$7:$Q$162,1)</f>
        <v>16</v>
      </c>
      <c r="D22" s="9">
        <f>COUNTIFS('Product decisions'!$C$7:$C$32,"Online-Only")</f>
        <v>4</v>
      </c>
      <c r="E22" s="9">
        <f>COUNTIFS('Product decisions'!$C$7:$C$32,"In-Store",'Source data'!$C$7:$C$32,"Giants &amp; Animatronics")</f>
        <v>4</v>
      </c>
      <c r="F22" s="9">
        <f>COUNTIFS('Product decisions'!$C$7:$C$32,"In-Store",'Source data'!$C$7:$C$32,"Inflatables")</f>
        <v>3</v>
      </c>
      <c r="G22" s="9">
        <f>COUNTIFS('Product decisions'!$C$7:$C$32,"In-Store",'Source data'!$C$7:$C$32,"Decor &amp; Accessories")</f>
        <v>6</v>
      </c>
      <c r="H22" s="9" t="str">
        <f>IF(AND(C22=16,D22&lt;=4,E22&gt;0,F22&gt;0,G22&gt;0,COUNTIFS('Product decisions'!$C$7:$C$32,"In-Store")+COUNTIFS('Product decisions'!$C$7:$C$32,"Online-Only")+COUNTIFS('Product decisions'!$C$7:$C$32,"Removed")=26),"Within limits","Review choices")</f>
        <v>Within limits</v>
      </c>
      <c r="I22" s="9" t="str">
        <f>IF(AND(COUNTIFS(Assumptions!$D$21:$D$46,"Fix quantity")=0,COUNTIFS('Profit model'!$C$7:$C$162,"Base",'Profit model'!$Q$7:$Q$162,1,'Profit model'!$D$7:$D$162,"&lt;=0")=0),"OK","Fix quantity")</f>
        <v>OK</v>
      </c>
      <c r="J22" s="9"/>
    </row>
    <row r="23" ht="33.75" customHeight="1">
      <c r="A23" s="9" t="s">
        <v>38</v>
      </c>
      <c r="B23" s="9">
        <f>COUNTIFS('Product decisions'!$H$7:$H$32,"In-Store")</f>
        <v>11</v>
      </c>
      <c r="C23" s="9">
        <f>SUMIFS('Profit model'!$V$7:$V$162,'Profit model'!$C$7:$C$162,"Base",'Profit model'!$B$7:$B$162,"In-Store",'Profit model'!$R$7:$R$162,1)</f>
        <v>16</v>
      </c>
      <c r="D23" s="9">
        <f>COUNTIFS('Product decisions'!$H$7:$H$32,"Online-Only")</f>
        <v>4</v>
      </c>
      <c r="E23" s="9">
        <f>COUNTIFS('Product decisions'!$H$7:$H$32,"In-Store",'Source data'!$C$7:$C$32,"Giants &amp; Animatronics")</f>
        <v>5</v>
      </c>
      <c r="F23" s="9">
        <f>COUNTIFS('Product decisions'!$H$7:$H$32,"In-Store",'Source data'!$C$7:$C$32,"Inflatables")</f>
        <v>1</v>
      </c>
      <c r="G23" s="9">
        <f>COUNTIFS('Product decisions'!$H$7:$H$32,"In-Store",'Source data'!$C$7:$C$32,"Decor &amp; Accessories")</f>
        <v>5</v>
      </c>
      <c r="H23" s="9" t="str">
        <f>IF(AND(C23=16,D23&lt;=4,E23&gt;0,F23&gt;0,G23&gt;0,COUNTIFS('Product decisions'!$H$7:$H$32,"In-Store")+COUNTIFS('Product decisions'!$H$7:$H$32,"Online-Only")+COUNTIFS('Product decisions'!$H$7:$H$32,"Removed")=26),"Within limits","Review choices")</f>
        <v>Within limits</v>
      </c>
      <c r="I23" s="9" t="str">
        <f>IF(AND(COUNTIFS(Assumptions!$D$21:$D$46,"Fix quantity")=0,COUNTIFS('Profit model'!$C$7:$C$162,"Base",'Profit model'!$R$7:$R$162,1,'Profit model'!$D$7:$D$162,"&lt;=0")=0),"OK","Fix quantity")</f>
        <v>OK</v>
      </c>
      <c r="J23" s="9"/>
    </row>
    <row r="24" ht="33.75" customHeight="1">
      <c r="A24" s="9" t="s">
        <v>39</v>
      </c>
      <c r="B24" s="9">
        <f>COUNTIFS('Product decisions'!$I$7:$I$32,"In-Store")</f>
        <v>12</v>
      </c>
      <c r="C24" s="9">
        <f>SUMIFS('Profit model'!$V$7:$V$162,'Profit model'!$C$7:$C$162,"Base",'Profit model'!$B$7:$B$162,"In-Store",'Profit model'!$S$7:$S$162,1)</f>
        <v>16</v>
      </c>
      <c r="D24" s="9">
        <f>COUNTIFS('Product decisions'!$I$7:$I$32,"Online-Only")</f>
        <v>3</v>
      </c>
      <c r="E24" s="9">
        <f>COUNTIFS('Product decisions'!$I$7:$I$32,"In-Store",'Source data'!$C$7:$C$32,"Giants &amp; Animatronics")</f>
        <v>3</v>
      </c>
      <c r="F24" s="9">
        <f>COUNTIFS('Product decisions'!$I$7:$I$32,"In-Store",'Source data'!$C$7:$C$32,"Inflatables")</f>
        <v>3</v>
      </c>
      <c r="G24" s="9">
        <f>COUNTIFS('Product decisions'!$I$7:$I$32,"In-Store",'Source data'!$C$7:$C$32,"Decor &amp; Accessories")</f>
        <v>6</v>
      </c>
      <c r="H24" s="9" t="str">
        <f>IF(AND(C24=16,D24&lt;=4,E24&gt;0,F24&gt;0,G24&gt;0,COUNTIFS('Product decisions'!$I$7:$I$32,"In-Store")+COUNTIFS('Product decisions'!$I$7:$I$32,"Online-Only")+COUNTIFS('Product decisions'!$I$7:$I$32,"Removed")=26),"Within limits","Review choices")</f>
        <v>Within limits</v>
      </c>
      <c r="I24" s="9" t="str">
        <f>IF(AND(COUNTIFS(Assumptions!$D$21:$D$46,"Fix quantity")=0,COUNTIFS('Profit model'!$C$7:$C$162,"Base",'Profit model'!$S$7:$S$162,1,'Profit model'!$D$7:$D$162,"&lt;=0")=0),"OK","Fix quantity")</f>
        <v>OK</v>
      </c>
      <c r="J24" s="9" t="str">
        <f>IF(F13&gt;=F7*Assumptions!$B$16,"Meets floor","Below floor")</f>
        <v>Meets floor</v>
      </c>
    </row>
    <row r="25" ht="33.75" customHeight="1">
      <c r="A25" s="9" t="s">
        <v>40</v>
      </c>
      <c r="B25" s="9">
        <f>COUNTIFS('Product decisions'!$J$7:$J$32,"In-Store")</f>
        <v>13</v>
      </c>
      <c r="C25" s="9">
        <f>SUMIFS('Profit model'!$V$7:$V$162,'Profit model'!$C$7:$C$162,"Base",'Profit model'!$B$7:$B$162,"In-Store",'Profit model'!$T$7:$T$162,1)</f>
        <v>16</v>
      </c>
      <c r="D25" s="9">
        <f>COUNTIFS('Product decisions'!$J$7:$J$32,"Online-Only")</f>
        <v>4</v>
      </c>
      <c r="E25" s="9">
        <f>COUNTIFS('Product decisions'!$J$7:$J$32,"In-Store",'Source data'!$C$7:$C$32,"Giants &amp; Animatronics")</f>
        <v>3</v>
      </c>
      <c r="F25" s="9">
        <f>COUNTIFS('Product decisions'!$J$7:$J$32,"In-Store",'Source data'!$C$7:$C$32,"Inflatables")</f>
        <v>4</v>
      </c>
      <c r="G25" s="9">
        <f>COUNTIFS('Product decisions'!$J$7:$J$32,"In-Store",'Source data'!$C$7:$C$32,"Decor &amp; Accessories")</f>
        <v>6</v>
      </c>
      <c r="H25" s="9" t="str">
        <f>IF(26-(COUNTIFS('Product decisions'!$J$7:$J$32,"In-Store")+COUNTIFS('Product decisions'!$J$7:$J$32,"Online-Only")+COUNTIFS('Product decisions'!$J$7:$J$32,"Removed"))&gt;0,"Pending: "&amp;(26-(COUNTIFS('Product decisions'!$J$7:$J$32,"In-Store")+COUNTIFS('Product decisions'!$J$7:$J$32,"Online-Only")+COUNTIFS('Product decisions'!$J$7:$J$32,"Removed"))),IF(AND(C25=16,D25&lt;=4,E25&gt;0,F25&gt;0,G25&gt;0),"Within limits","Review choices"))</f>
        <v>Within limits</v>
      </c>
      <c r="I25" s="9" t="str">
        <f>IF(AND(COUNTIFS(Assumptions!$D$21:$D$46,"Fix quantity")=0,COUNTIFS('Profit model'!$C$7:$C$162,"Base",'Profit model'!$T$7:$T$162,1,'Profit model'!$D$7:$D$162,"&lt;=0")=0),"OK","Fix quantity")</f>
        <v>OK</v>
      </c>
      <c r="J25" s="9"/>
    </row>
    <row r="26" ht="24.0" customHeight="1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ht="24.0" customHeight="1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ht="37.5" customHeight="1">
      <c r="A28" s="8" t="s">
        <v>236</v>
      </c>
      <c r="B28" s="8" t="s">
        <v>237</v>
      </c>
      <c r="C28" s="3"/>
      <c r="D28" s="3"/>
      <c r="E28" s="3"/>
      <c r="F28" s="3"/>
      <c r="G28" s="3"/>
      <c r="H28" s="3"/>
      <c r="I28" s="3"/>
      <c r="J28" s="3"/>
    </row>
    <row r="29" ht="64.5" customHeight="1">
      <c r="A29" s="9" t="s">
        <v>238</v>
      </c>
      <c r="B29" s="9" t="s">
        <v>239</v>
      </c>
      <c r="F29" s="9"/>
      <c r="G29" s="9"/>
      <c r="H29" s="9"/>
      <c r="I29" s="9"/>
      <c r="J29" s="9"/>
    </row>
    <row r="30" ht="64.5" customHeight="1">
      <c r="A30" s="9" t="s">
        <v>38</v>
      </c>
      <c r="B30" s="7" t="s">
        <v>240</v>
      </c>
      <c r="F30" s="9"/>
      <c r="G30" s="9"/>
      <c r="H30" s="9"/>
      <c r="I30" s="9"/>
      <c r="J30" s="9"/>
    </row>
    <row r="31" ht="64.5" customHeight="1">
      <c r="A31" s="9" t="s">
        <v>39</v>
      </c>
      <c r="B31" s="7" t="s">
        <v>241</v>
      </c>
      <c r="F31" s="9"/>
      <c r="G31" s="9"/>
      <c r="H31" s="9"/>
      <c r="I31" s="9"/>
      <c r="J31" s="9"/>
    </row>
    <row r="32" ht="64.5" customHeight="1">
      <c r="A32" s="9" t="s">
        <v>242</v>
      </c>
      <c r="B32" s="9" t="s">
        <v>243</v>
      </c>
      <c r="F32" s="9"/>
      <c r="G32" s="9"/>
      <c r="H32" s="9"/>
      <c r="I32" s="9"/>
      <c r="J32" s="9"/>
    </row>
    <row r="33" ht="64.5" customHeight="1">
      <c r="A33" s="9" t="s">
        <v>244</v>
      </c>
      <c r="B33" s="7" t="s">
        <v>245</v>
      </c>
      <c r="F33" s="9"/>
      <c r="G33" s="9"/>
      <c r="H33" s="9"/>
      <c r="I33" s="9"/>
      <c r="J33" s="9"/>
    </row>
    <row r="34" ht="64.5" customHeight="1">
      <c r="A34" s="9" t="s">
        <v>246</v>
      </c>
      <c r="B34" s="9" t="s">
        <v>247</v>
      </c>
      <c r="F34" s="9"/>
      <c r="G34" s="9"/>
      <c r="H34" s="9"/>
      <c r="I34" s="9"/>
      <c r="J34" s="9"/>
    </row>
    <row r="35" ht="64.5" customHeight="1">
      <c r="A35" s="9" t="s">
        <v>248</v>
      </c>
      <c r="B35" s="9" t="s">
        <v>249</v>
      </c>
      <c r="F35" s="9"/>
      <c r="G35" s="9"/>
      <c r="H35" s="9"/>
      <c r="I35" s="9"/>
      <c r="J35" s="9"/>
    </row>
    <row r="36" ht="64.5" customHeight="1">
      <c r="A36" s="9" t="s">
        <v>251</v>
      </c>
      <c r="B36" s="9" t="s">
        <v>252</v>
      </c>
      <c r="F36" s="9"/>
      <c r="G36" s="9"/>
      <c r="H36" s="9"/>
      <c r="I36" s="9"/>
      <c r="J36" s="9"/>
    </row>
    <row r="37" ht="64.5" customHeight="1">
      <c r="A37" s="9" t="s">
        <v>254</v>
      </c>
      <c r="B37" s="9" t="s">
        <v>255</v>
      </c>
      <c r="F37" s="9"/>
      <c r="G37" s="9"/>
      <c r="H37" s="9"/>
      <c r="I37" s="9"/>
      <c r="J37" s="9"/>
    </row>
    <row r="38" ht="64.5" customHeight="1">
      <c r="A38" s="9" t="s">
        <v>256</v>
      </c>
      <c r="B38" s="9" t="s">
        <v>257</v>
      </c>
      <c r="F38" s="9"/>
      <c r="G38" s="9"/>
      <c r="H38" s="9"/>
      <c r="I38" s="9"/>
      <c r="J38" s="9"/>
    </row>
    <row r="39" ht="64.5" customHeight="1">
      <c r="A39" s="9" t="s">
        <v>258</v>
      </c>
      <c r="B39" s="9" t="s">
        <v>259</v>
      </c>
      <c r="F39" s="9"/>
      <c r="G39" s="9"/>
      <c r="H39" s="9"/>
      <c r="I39" s="9"/>
      <c r="J39" s="9"/>
    </row>
    <row r="40" ht="64.5" customHeight="1">
      <c r="A40" s="9" t="s">
        <v>260</v>
      </c>
      <c r="B40" s="9" t="s">
        <v>261</v>
      </c>
      <c r="F40" s="9"/>
      <c r="G40" s="9"/>
      <c r="H40" s="9"/>
      <c r="I40" s="9"/>
      <c r="J40" s="9"/>
    </row>
    <row r="41" ht="64.5" customHeight="1">
      <c r="A41" s="9" t="s">
        <v>262</v>
      </c>
      <c r="B41" s="39" t="s">
        <v>263</v>
      </c>
      <c r="F41" s="9"/>
      <c r="G41" s="9"/>
      <c r="H41" s="9"/>
      <c r="I41" s="9"/>
      <c r="J41" s="9"/>
    </row>
    <row r="42" ht="64.5" customHeight="1">
      <c r="A42" s="9"/>
      <c r="B42" s="9"/>
      <c r="F42" s="9"/>
      <c r="G42" s="9"/>
      <c r="H42" s="9"/>
      <c r="I42" s="9"/>
      <c r="J42" s="9"/>
    </row>
    <row r="43" ht="24.0" customHeight="1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ht="24.0" customHeigh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ht="24.0" customHeight="1">
      <c r="A45" s="40" t="s">
        <v>264</v>
      </c>
      <c r="B45" s="41" t="str">
        <f>IF(AND(COUNT(Assumptions!B7:D9)=9,COUNT(Assumptions!B13:B16)=4,MIN(Assumptions!B7:D9)&gt;=0,MAX(Assumptions!C7:C9)&lt;=1,MAX(Assumptions!D7:D9)&lt;1,MIN(Assumptions!B13:B16)&gt;=0,MAX(Assumptions!B13:B16)&lt;=1),"OK","Fix assumptions")</f>
        <v>OK</v>
      </c>
      <c r="C45" s="3"/>
      <c r="D45" s="3"/>
      <c r="E45" s="3"/>
      <c r="F45" s="3"/>
      <c r="G45" s="3"/>
      <c r="H45" s="3"/>
      <c r="I45" s="3"/>
      <c r="J45" s="3"/>
    </row>
    <row r="46" ht="24.0" customHeigh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24.0" customHeight="1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ht="24.0" customHeight="1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ht="24.0" customHeight="1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ht="24.0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ht="24.0" customHeight="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ht="24.0" customHeight="1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ht="24.0" customHeight="1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ht="24.0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24.0" customHeight="1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6:E36"/>
    <mergeCell ref="B37:E37"/>
    <mergeCell ref="B38:E38"/>
    <mergeCell ref="B39:E39"/>
    <mergeCell ref="B40:E40"/>
    <mergeCell ref="B41:E41"/>
    <mergeCell ref="B42:E42"/>
    <mergeCell ref="B29:E29"/>
    <mergeCell ref="B30:E30"/>
    <mergeCell ref="B31:E31"/>
    <mergeCell ref="B32:E32"/>
    <mergeCell ref="B33:E33"/>
    <mergeCell ref="B34:E34"/>
    <mergeCell ref="B35:E35"/>
  </mergeCells>
  <conditionalFormatting sqref="B45">
    <cfRule type="containsText" dxfId="5" priority="1" stopIfTrue="1" operator="containsText" text="Fix">
      <formula>NOT(ISERROR(SEARCH(("Fix"),(B45))))</formula>
    </cfRule>
  </conditionalFormatting>
  <conditionalFormatting sqref="H22:H25">
    <cfRule type="containsText" dxfId="6" priority="2" operator="containsText" text="Review">
      <formula>NOT(ISERROR(SEARCH(("Review"),(H22))))</formula>
    </cfRule>
  </conditionalFormatting>
  <conditionalFormatting sqref="F7:F18">
    <cfRule type="cellIs" dxfId="6" priority="3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35.75"/>
    <col customWidth="1" min="2" max="5" width="18.25"/>
  </cols>
  <sheetData>
    <row r="1">
      <c r="A1" s="1"/>
      <c r="B1" s="1"/>
      <c r="C1" s="1"/>
      <c r="D1" s="1"/>
      <c r="E1" s="1"/>
    </row>
    <row r="2" ht="31.5" customHeight="1">
      <c r="A2" s="2" t="s">
        <v>163</v>
      </c>
    </row>
    <row r="3">
      <c r="A3" s="1"/>
      <c r="B3" s="1"/>
      <c r="C3" s="1"/>
      <c r="D3" s="1"/>
      <c r="E3" s="1"/>
    </row>
    <row r="4" ht="31.5" customHeight="1">
      <c r="A4" s="1" t="s">
        <v>165</v>
      </c>
    </row>
    <row r="5">
      <c r="A5" s="1"/>
      <c r="B5" s="1"/>
      <c r="C5" s="1"/>
      <c r="D5" s="1"/>
      <c r="E5" s="1"/>
    </row>
    <row r="6" ht="36.0" customHeight="1">
      <c r="A6" s="4" t="s">
        <v>26</v>
      </c>
      <c r="B6" s="4" t="s">
        <v>31</v>
      </c>
      <c r="C6" s="4" t="s">
        <v>38</v>
      </c>
      <c r="D6" s="4" t="s">
        <v>39</v>
      </c>
      <c r="E6" s="4" t="s">
        <v>40</v>
      </c>
    </row>
    <row r="7" ht="34.5" customHeight="1">
      <c r="A7" s="1" t="str">
        <f>'Product decisions'!A7</f>
        <v>12 ft Giant Skeleton</v>
      </c>
      <c r="B7" s="1" t="str">
        <f>SUBSTITUTE(IF('Product decisions'!C7="In-Store","In-Store ("&amp;VLOOKUP(A7,'Source data'!$A$7:$D$32,4,FALSE)&amp;" facings)",'Product decisions'!C7),"(1 facings)","(1 facing)")</f>
        <v>In-Store (3 facings)</v>
      </c>
      <c r="C7" s="1" t="str">
        <f>SUBSTITUTE(IF('Product decisions'!H7="In-Store","In-Store ("&amp;VLOOKUP(A7,'Source data'!$A$7:$D$32,4,FALSE)&amp;" facings)",'Product decisions'!H7),"(1 facings)","(1 facing)")</f>
        <v>Online-Only</v>
      </c>
      <c r="D7" s="1" t="str">
        <f>SUBSTITUTE(IF('Product decisions'!I7="In-Store","In-Store ("&amp;VLOOKUP(A7,'Source data'!$A$7:$D$32,4,FALSE)&amp;" facings)",'Product decisions'!I7),"(1 facings)","(1 facing)")</f>
        <v>Online-Only</v>
      </c>
      <c r="E7" s="1" t="str">
        <f>SUBSTITUTE(IF('Product decisions'!J7="In-Store","In-Store ("&amp;VLOOKUP(A7,'Source data'!$A$7:$D$32,4,FALSE)&amp;" facings)",'Product decisions'!J7),"(1 facings)","(1 facing)")</f>
        <v>In-Store (3 facings)</v>
      </c>
    </row>
    <row r="8" ht="34.5" customHeight="1">
      <c r="A8" s="1" t="str">
        <f>'Product decisions'!A8</f>
        <v>9 ft Animated Pirate Ship</v>
      </c>
      <c r="B8" s="1" t="str">
        <f>SUBSTITUTE(IF('Product decisions'!C8="In-Store","In-Store ("&amp;VLOOKUP(A8,'Source data'!$A$7:$D$32,4,FALSE)&amp;" facings)",'Product decisions'!C8),"(1 facings)","(1 facing)")</f>
        <v>Online-Only</v>
      </c>
      <c r="C8" s="1" t="str">
        <f>SUBSTITUTE(IF('Product decisions'!H8="In-Store","In-Store ("&amp;VLOOKUP(A8,'Source data'!$A$7:$D$32,4,FALSE)&amp;" facings)",'Product decisions'!H8),"(1 facings)","(1 facing)")</f>
        <v>Online-Only</v>
      </c>
      <c r="D8" s="1" t="str">
        <f>SUBSTITUTE(IF('Product decisions'!I8="In-Store","In-Store ("&amp;VLOOKUP(A8,'Source data'!$A$7:$D$32,4,FALSE)&amp;" facings)",'Product decisions'!I8),"(1 facings)","(1 facing)")</f>
        <v>Removed</v>
      </c>
      <c r="E8" s="1" t="str">
        <f>SUBSTITUTE(IF('Product decisions'!J8="In-Store","In-Store ("&amp;VLOOKUP(A8,'Source data'!$A$7:$D$32,4,FALSE)&amp;" facings)",'Product decisions'!J8),"(1 facings)","(1 facing)")</f>
        <v>Online-Only</v>
      </c>
    </row>
    <row r="9" ht="34.5" customHeight="1">
      <c r="A9" s="1" t="str">
        <f>'Product decisions'!A9</f>
        <v>7 ft Animated Reaper</v>
      </c>
      <c r="B9" s="1" t="str">
        <f>SUBSTITUTE(IF('Product decisions'!C9="In-Store","In-Store ("&amp;VLOOKUP(A9,'Source data'!$A$7:$D$32,4,FALSE)&amp;" facings)",'Product decisions'!C9),"(1 facings)","(1 facing)")</f>
        <v>In-Store (1 facing)</v>
      </c>
      <c r="C9" s="1" t="str">
        <f>SUBSTITUTE(IF('Product decisions'!H9="In-Store","In-Store ("&amp;VLOOKUP(A9,'Source data'!$A$7:$D$32,4,FALSE)&amp;" facings)",'Product decisions'!H9),"(1 facings)","(1 facing)")</f>
        <v>In-Store (1 facing)</v>
      </c>
      <c r="D9" s="1" t="str">
        <f>SUBSTITUTE(IF('Product decisions'!I9="In-Store","In-Store ("&amp;VLOOKUP(A9,'Source data'!$A$7:$D$32,4,FALSE)&amp;" facings)",'Product decisions'!I9),"(1 facings)","(1 facing)")</f>
        <v>In-Store (1 facing)</v>
      </c>
      <c r="E9" s="1" t="str">
        <f>SUBSTITUTE(IF('Product decisions'!J9="In-Store","In-Store ("&amp;VLOOKUP(A9,'Source data'!$A$7:$D$32,4,FALSE)&amp;" facings)",'Product decisions'!J9),"(1 facings)","(1 facing)")</f>
        <v>In-Store (1 facing)</v>
      </c>
    </row>
    <row r="10" ht="34.5" customHeight="1">
      <c r="A10" s="1" t="str">
        <f>'Product decisions'!A10</f>
        <v>5.5 ft LED Skeleton Pony</v>
      </c>
      <c r="B10" s="1" t="str">
        <f>SUBSTITUTE(IF('Product decisions'!C10="In-Store","In-Store ("&amp;VLOOKUP(A10,'Source data'!$A$7:$D$32,4,FALSE)&amp;" facings)",'Product decisions'!C10),"(1 facings)","(1 facing)")</f>
        <v>In-Store (1 facing)</v>
      </c>
      <c r="C10" s="1" t="str">
        <f>SUBSTITUTE(IF('Product decisions'!H10="In-Store","In-Store ("&amp;VLOOKUP(A10,'Source data'!$A$7:$D$32,4,FALSE)&amp;" facings)",'Product decisions'!H10),"(1 facings)","(1 facing)")</f>
        <v>In-Store (1 facing)</v>
      </c>
      <c r="D10" s="1" t="str">
        <f>SUBSTITUTE(IF('Product decisions'!I10="In-Store","In-Store ("&amp;VLOOKUP(A10,'Source data'!$A$7:$D$32,4,FALSE)&amp;" facings)",'Product decisions'!I10),"(1 facings)","(1 facing)")</f>
        <v>In-Store (1 facing)</v>
      </c>
      <c r="E10" s="1" t="str">
        <f>SUBSTITUTE(IF('Product decisions'!J10="In-Store","In-Store ("&amp;VLOOKUP(A10,'Source data'!$A$7:$D$32,4,FALSE)&amp;" facings)",'Product decisions'!J10),"(1 facings)","(1 facing)")</f>
        <v>In-Store (1 facing)</v>
      </c>
    </row>
    <row r="11" ht="34.5" customHeight="1">
      <c r="A11" s="1" t="str">
        <f>'Product decisions'!A11</f>
        <v>10.5 ft Licensed Character Inflatable</v>
      </c>
      <c r="B11" s="1" t="str">
        <f>SUBSTITUTE(IF('Product decisions'!C11="In-Store","In-Store ("&amp;VLOOKUP(A11,'Source data'!$A$7:$D$32,4,FALSE)&amp;" facings)",'Product decisions'!C11),"(1 facings)","(1 facing)")</f>
        <v>Removed</v>
      </c>
      <c r="C11" s="1" t="str">
        <f>SUBSTITUTE(IF('Product decisions'!H11="In-Store","In-Store ("&amp;VLOOKUP(A11,'Source data'!$A$7:$D$32,4,FALSE)&amp;" facings)",'Product decisions'!H11),"(1 facings)","(1 facing)")</f>
        <v>Removed</v>
      </c>
      <c r="D11" s="1" t="str">
        <f>SUBSTITUTE(IF('Product decisions'!I11="In-Store","In-Store ("&amp;VLOOKUP(A11,'Source data'!$A$7:$D$32,4,FALSE)&amp;" facings)",'Product decisions'!I11),"(1 facings)","(1 facing)")</f>
        <v>Removed</v>
      </c>
      <c r="E11" s="1" t="str">
        <f>SUBSTITUTE(IF('Product decisions'!J11="In-Store","In-Store ("&amp;VLOOKUP(A11,'Source data'!$A$7:$D$32,4,FALSE)&amp;" facings)",'Product decisions'!J11),"(1 facings)","(1 facing)")</f>
        <v>Removed</v>
      </c>
    </row>
    <row r="12" ht="34.5" customHeight="1">
      <c r="A12" s="1" t="str">
        <f>'Product decisions'!A12</f>
        <v>9.5 ft Licensed Sandworm Inflatable</v>
      </c>
      <c r="B12" s="1" t="str">
        <f>SUBSTITUTE(IF('Product decisions'!C12="In-Store","In-Store ("&amp;VLOOKUP(A12,'Source data'!$A$7:$D$32,4,FALSE)&amp;" facings)",'Product decisions'!C12),"(1 facings)","(1 facing)")</f>
        <v>In-Store (1 facing)</v>
      </c>
      <c r="C12" s="1" t="str">
        <f>SUBSTITUTE(IF('Product decisions'!H12="In-Store","In-Store ("&amp;VLOOKUP(A12,'Source data'!$A$7:$D$32,4,FALSE)&amp;" facings)",'Product decisions'!H12),"(1 facings)","(1 facing)")</f>
        <v>Removed</v>
      </c>
      <c r="D12" s="1" t="str">
        <f>SUBSTITUTE(IF('Product decisions'!I12="In-Store","In-Store ("&amp;VLOOKUP(A12,'Source data'!$A$7:$D$32,4,FALSE)&amp;" facings)",'Product decisions'!I12),"(1 facings)","(1 facing)")</f>
        <v>Removed</v>
      </c>
      <c r="E12" s="1" t="str">
        <f>SUBSTITUTE(IF('Product decisions'!J12="In-Store","In-Store ("&amp;VLOOKUP(A12,'Source data'!$A$7:$D$32,4,FALSE)&amp;" facings)",'Product decisions'!J12),"(1 facings)","(1 facing)")</f>
        <v>In-Store (1 facing)</v>
      </c>
    </row>
    <row r="13" ht="34.5" customHeight="1">
      <c r="A13" s="1" t="str">
        <f>'Product decisions'!A13</f>
        <v>12 ft Reaper Inflatable</v>
      </c>
      <c r="B13" s="1" t="str">
        <f>SUBSTITUTE(IF('Product decisions'!C13="In-Store","In-Store ("&amp;VLOOKUP(A13,'Source data'!$A$7:$D$32,4,FALSE)&amp;" facings)",'Product decisions'!C13),"(1 facings)","(1 facing)")</f>
        <v>Removed</v>
      </c>
      <c r="C13" s="1" t="str">
        <f>SUBSTITUTE(IF('Product decisions'!H13="In-Store","In-Store ("&amp;VLOOKUP(A13,'Source data'!$A$7:$D$32,4,FALSE)&amp;" facings)",'Product decisions'!H13),"(1 facings)","(1 facing)")</f>
        <v>Removed</v>
      </c>
      <c r="D13" s="1" t="str">
        <f>SUBSTITUTE(IF('Product decisions'!I13="In-Store","In-Store ("&amp;VLOOKUP(A13,'Source data'!$A$7:$D$32,4,FALSE)&amp;" facings)",'Product decisions'!I13),"(1 facings)","(1 facing)")</f>
        <v>Removed</v>
      </c>
      <c r="E13" s="1" t="str">
        <f>SUBSTITUTE(IF('Product decisions'!J13="In-Store","In-Store ("&amp;VLOOKUP(A13,'Source data'!$A$7:$D$32,4,FALSE)&amp;" facings)",'Product decisions'!J13),"(1 facings)","(1 facing)")</f>
        <v>Removed</v>
      </c>
    </row>
    <row r="14" ht="34.5" customHeight="1">
      <c r="A14" s="1" t="str">
        <f>'Product decisions'!A14</f>
        <v>6 ft Scarecrow Inflatable</v>
      </c>
      <c r="B14" s="1" t="str">
        <f>SUBSTITUTE(IF('Product decisions'!C14="In-Store","In-Store ("&amp;VLOOKUP(A14,'Source data'!$A$7:$D$32,4,FALSE)&amp;" facings)",'Product decisions'!C14),"(1 facings)","(1 facing)")</f>
        <v>In-Store (1 facing)</v>
      </c>
      <c r="C14" s="1" t="str">
        <f>SUBSTITUTE(IF('Product decisions'!H14="In-Store","In-Store ("&amp;VLOOKUP(A14,'Source data'!$A$7:$D$32,4,FALSE)&amp;" facings)",'Product decisions'!H14),"(1 facings)","(1 facing)")</f>
        <v>Removed</v>
      </c>
      <c r="D14" s="1" t="str">
        <f>SUBSTITUTE(IF('Product decisions'!I14="In-Store","In-Store ("&amp;VLOOKUP(A14,'Source data'!$A$7:$D$32,4,FALSE)&amp;" facings)",'Product decisions'!I14),"(1 facings)","(1 facing)")</f>
        <v>Removed</v>
      </c>
      <c r="E14" s="1" t="str">
        <f>SUBSTITUTE(IF('Product decisions'!J14="In-Store","In-Store ("&amp;VLOOKUP(A14,'Source data'!$A$7:$D$32,4,FALSE)&amp;" facings)",'Product decisions'!J14),"(1 facings)","(1 facing)")</f>
        <v>In-Store (1 facing)</v>
      </c>
    </row>
    <row r="15" ht="34.5" customHeight="1">
      <c r="A15" s="1" t="str">
        <f>'Product decisions'!A15</f>
        <v>24 in Metal Tombstone</v>
      </c>
      <c r="B15" s="1" t="str">
        <f>SUBSTITUTE(IF('Product decisions'!C15="In-Store","In-Store ("&amp;VLOOKUP(A15,'Source data'!$A$7:$D$32,4,FALSE)&amp;" facings)",'Product decisions'!C15),"(1 facings)","(1 facing)")</f>
        <v>In-Store (1 facing)</v>
      </c>
      <c r="C15" s="1" t="str">
        <f>SUBSTITUTE(IF('Product decisions'!H15="In-Store","In-Store ("&amp;VLOOKUP(A15,'Source data'!$A$7:$D$32,4,FALSE)&amp;" facings)",'Product decisions'!H15),"(1 facings)","(1 facing)")</f>
        <v>In-Store (1 facing)</v>
      </c>
      <c r="D15" s="1" t="str">
        <f>SUBSTITUTE(IF('Product decisions'!I15="In-Store","In-Store ("&amp;VLOOKUP(A15,'Source data'!$A$7:$D$32,4,FALSE)&amp;" facings)",'Product decisions'!I15),"(1 facings)","(1 facing)")</f>
        <v>In-Store (1 facing)</v>
      </c>
      <c r="E15" s="1" t="str">
        <f>SUBSTITUTE(IF('Product decisions'!J15="In-Store","In-Store ("&amp;VLOOKUP(A15,'Source data'!$A$7:$D$32,4,FALSE)&amp;" facings)",'Product decisions'!J15),"(1 facings)","(1 facing)")</f>
        <v>In-Store (1 facing)</v>
      </c>
    </row>
    <row r="16" ht="34.5" customHeight="1">
      <c r="A16" s="1" t="str">
        <f>'Product decisions'!A16</f>
        <v>5 ft Skeleton Tombstone</v>
      </c>
      <c r="B16" s="1" t="str">
        <f>SUBSTITUTE(IF('Product decisions'!C16="In-Store","In-Store ("&amp;VLOOKUP(A16,'Source data'!$A$7:$D$32,4,FALSE)&amp;" facings)",'Product decisions'!C16),"(1 facings)","(1 facing)")</f>
        <v>In-Store (1 facing)</v>
      </c>
      <c r="C16" s="1" t="str">
        <f>SUBSTITUTE(IF('Product decisions'!H16="In-Store","In-Store ("&amp;VLOOKUP(A16,'Source data'!$A$7:$D$32,4,FALSE)&amp;" facings)",'Product decisions'!H16),"(1 facings)","(1 facing)")</f>
        <v>In-Store (1 facing)</v>
      </c>
      <c r="D16" s="1" t="str">
        <f>SUBSTITUTE(IF('Product decisions'!I16="In-Store","In-Store ("&amp;VLOOKUP(A16,'Source data'!$A$7:$D$32,4,FALSE)&amp;" facings)",'Product decisions'!I16),"(1 facings)","(1 facing)")</f>
        <v>In-Store (1 facing)</v>
      </c>
      <c r="E16" s="1" t="str">
        <f>SUBSTITUTE(IF('Product decisions'!J16="In-Store","In-Store ("&amp;VLOOKUP(A16,'Source data'!$A$7:$D$32,4,FALSE)&amp;" facings)",'Product decisions'!J16),"(1 facings)","(1 facing)")</f>
        <v>In-Store (1 facing)</v>
      </c>
    </row>
    <row r="17" ht="34.5" customHeight="1">
      <c r="A17" s="1" t="str">
        <f>'Product decisions'!A17</f>
        <v>LED Fog Machine</v>
      </c>
      <c r="B17" s="1" t="str">
        <f>SUBSTITUTE(IF('Product decisions'!C17="In-Store","In-Store ("&amp;VLOOKUP(A17,'Source data'!$A$7:$D$32,4,FALSE)&amp;" facings)",'Product decisions'!C17),"(1 facings)","(1 facing)")</f>
        <v>Removed</v>
      </c>
      <c r="C17" s="1" t="str">
        <f>SUBSTITUTE(IF('Product decisions'!H17="In-Store","In-Store ("&amp;VLOOKUP(A17,'Source data'!$A$7:$D$32,4,FALSE)&amp;" facings)",'Product decisions'!H17),"(1 facings)","(1 facing)")</f>
        <v>Removed</v>
      </c>
      <c r="D17" s="1" t="str">
        <f>SUBSTITUTE(IF('Product decisions'!I17="In-Store","In-Store ("&amp;VLOOKUP(A17,'Source data'!$A$7:$D$32,4,FALSE)&amp;" facings)",'Product decisions'!I17),"(1 facings)","(1 facing)")</f>
        <v>Removed</v>
      </c>
      <c r="E17" s="1" t="str">
        <f>SUBSTITUTE(IF('Product decisions'!J17="In-Store","In-Store ("&amp;VLOOKUP(A17,'Source data'!$A$7:$D$32,4,FALSE)&amp;" facings)",'Product decisions'!J17),"(1 facings)","(1 facing)")</f>
        <v>Removed</v>
      </c>
    </row>
    <row r="18" ht="34.5" customHeight="1">
      <c r="A18" s="1" t="str">
        <f>'Product decisions'!A18</f>
        <v>Pathway Light Set (6-piece)</v>
      </c>
      <c r="B18" s="1" t="str">
        <f>SUBSTITUTE(IF('Product decisions'!C18="In-Store","In-Store ("&amp;VLOOKUP(A18,'Source data'!$A$7:$D$32,4,FALSE)&amp;" facings)",'Product decisions'!C18),"(1 facings)","(1 facing)")</f>
        <v>In-Store (1 facing)</v>
      </c>
      <c r="C18" s="1" t="str">
        <f>SUBSTITUTE(IF('Product decisions'!H18="In-Store","In-Store ("&amp;VLOOKUP(A18,'Source data'!$A$7:$D$32,4,FALSE)&amp;" facings)",'Product decisions'!H18),"(1 facings)","(1 facing)")</f>
        <v>In-Store (1 facing)</v>
      </c>
      <c r="D18" s="1" t="str">
        <f>SUBSTITUTE(IF('Product decisions'!I18="In-Store","In-Store ("&amp;VLOOKUP(A18,'Source data'!$A$7:$D$32,4,FALSE)&amp;" facings)",'Product decisions'!I18),"(1 facings)","(1 facing)")</f>
        <v>In-Store (1 facing)</v>
      </c>
      <c r="E18" s="1" t="str">
        <f>SUBSTITUTE(IF('Product decisions'!J18="In-Store","In-Store ("&amp;VLOOKUP(A18,'Source data'!$A$7:$D$32,4,FALSE)&amp;" facings)",'Product decisions'!J18),"(1 facings)","(1 facing)")</f>
        <v>In-Store (1 facing)</v>
      </c>
    </row>
    <row r="19" ht="34.5" customHeight="1">
      <c r="A19" s="1" t="str">
        <f>'Product decisions'!A19</f>
        <v>16 ft Inflatable Haunted Archway</v>
      </c>
      <c r="B19" s="1" t="str">
        <f>SUBSTITUTE(IF('Product decisions'!C19="In-Store","In-Store ("&amp;VLOOKUP(A19,'Source data'!$A$7:$D$32,4,FALSE)&amp;" facings)",'Product decisions'!C19),"(1 facings)","(1 facing)")</f>
        <v>Online-Only</v>
      </c>
      <c r="C19" s="1" t="str">
        <f>SUBSTITUTE(IF('Product decisions'!H19="In-Store","In-Store ("&amp;VLOOKUP(A19,'Source data'!$A$7:$D$32,4,FALSE)&amp;" facings)",'Product decisions'!H19),"(1 facings)","(1 facing)")</f>
        <v>Online-Only</v>
      </c>
      <c r="D19" s="1" t="str">
        <f>SUBSTITUTE(IF('Product decisions'!I19="In-Store","In-Store ("&amp;VLOOKUP(A19,'Source data'!$A$7:$D$32,4,FALSE)&amp;" facings)",'Product decisions'!I19),"(1 facings)","(1 facing)")</f>
        <v>In-Store (3 facings)</v>
      </c>
      <c r="E19" s="1" t="str">
        <f>SUBSTITUTE(IF('Product decisions'!J19="In-Store","In-Store ("&amp;VLOOKUP(A19,'Source data'!$A$7:$D$32,4,FALSE)&amp;" facings)",'Product decisions'!J19),"(1 facings)","(1 facing)")</f>
        <v>Online-Only</v>
      </c>
    </row>
    <row r="20" ht="34.5" customHeight="1">
      <c r="A20" s="1" t="str">
        <f>'Product decisions'!A20</f>
        <v>Life-Size Animated Butler</v>
      </c>
      <c r="B20" s="1" t="str">
        <f>SUBSTITUTE(IF('Product decisions'!C20="In-Store","In-Store ("&amp;VLOOKUP(A20,'Source data'!$A$7:$D$32,4,FALSE)&amp;" facings)",'Product decisions'!C20),"(1 facings)","(1 facing)")</f>
        <v>Online-Only</v>
      </c>
      <c r="C20" s="1" t="str">
        <f>SUBSTITUTE(IF('Product decisions'!H20="In-Store","In-Store ("&amp;VLOOKUP(A20,'Source data'!$A$7:$D$32,4,FALSE)&amp;" facings)",'Product decisions'!H20),"(1 facings)","(1 facing)")</f>
        <v>Online-Only</v>
      </c>
      <c r="D20" s="1" t="str">
        <f>SUBSTITUTE(IF('Product decisions'!I20="In-Store","In-Store ("&amp;VLOOKUP(A20,'Source data'!$A$7:$D$32,4,FALSE)&amp;" facings)",'Product decisions'!I20),"(1 facings)","(1 facing)")</f>
        <v>Online-Only</v>
      </c>
      <c r="E20" s="1" t="str">
        <f>SUBSTITUTE(IF('Product decisions'!J20="In-Store","In-Store ("&amp;VLOOKUP(A20,'Source data'!$A$7:$D$32,4,FALSE)&amp;" facings)",'Product decisions'!J20),"(1 facings)","(1 facing)")</f>
        <v>Online-Only</v>
      </c>
    </row>
    <row r="21" ht="34.5" customHeight="1">
      <c r="A21" s="1" t="str">
        <f>'Product decisions'!A21</f>
        <v>Animated Witch Cauldron</v>
      </c>
      <c r="B21" s="1" t="str">
        <f>SUBSTITUTE(IF('Product decisions'!C21="In-Store","In-Store ("&amp;VLOOKUP(A21,'Source data'!$A$7:$D$32,4,FALSE)&amp;" facings)",'Product decisions'!C21),"(1 facings)","(1 facing)")</f>
        <v>Removed</v>
      </c>
      <c r="C21" s="1" t="str">
        <f>SUBSTITUTE(IF('Product decisions'!H21="In-Store","In-Store ("&amp;VLOOKUP(A21,'Source data'!$A$7:$D$32,4,FALSE)&amp;" facings)",'Product decisions'!H21),"(1 facings)","(1 facing)")</f>
        <v>Removed</v>
      </c>
      <c r="D21" s="1" t="str">
        <f>SUBSTITUTE(IF('Product decisions'!I21="In-Store","In-Store ("&amp;VLOOKUP(A21,'Source data'!$A$7:$D$32,4,FALSE)&amp;" facings)",'Product decisions'!I21),"(1 facings)","(1 facing)")</f>
        <v>Online-Only</v>
      </c>
      <c r="E21" s="1" t="str">
        <f>SUBSTITUTE(IF('Product decisions'!J21="In-Store","In-Store ("&amp;VLOOKUP(A21,'Source data'!$A$7:$D$32,4,FALSE)&amp;" facings)",'Product decisions'!J21),"(1 facings)","(1 facing)")</f>
        <v>Online-Only</v>
      </c>
    </row>
    <row r="22" ht="34.5" customHeight="1">
      <c r="A22" s="1" t="str">
        <f>'Product decisions'!A22</f>
        <v>Halloween Doormat Assortment</v>
      </c>
      <c r="B22" s="1" t="str">
        <f>SUBSTITUTE(IF('Product decisions'!C22="In-Store","In-Store ("&amp;VLOOKUP(A22,'Source data'!$A$7:$D$32,4,FALSE)&amp;" facings)",'Product decisions'!C22),"(1 facings)","(1 facing)")</f>
        <v>Removed</v>
      </c>
      <c r="C22" s="1" t="str">
        <f>SUBSTITUTE(IF('Product decisions'!H22="In-Store","In-Store ("&amp;VLOOKUP(A22,'Source data'!$A$7:$D$32,4,FALSE)&amp;" facings)",'Product decisions'!H22),"(1 facings)","(1 facing)")</f>
        <v>Removed</v>
      </c>
      <c r="D22" s="1" t="str">
        <f>SUBSTITUTE(IF('Product decisions'!I22="In-Store","In-Store ("&amp;VLOOKUP(A22,'Source data'!$A$7:$D$32,4,FALSE)&amp;" facings)",'Product decisions'!I22),"(1 facings)","(1 facing)")</f>
        <v>Removed</v>
      </c>
      <c r="E22" s="1" t="str">
        <f>SUBSTITUTE(IF('Product decisions'!J22="In-Store","In-Store ("&amp;VLOOKUP(A22,'Source data'!$A$7:$D$32,4,FALSE)&amp;" facings)",'Product decisions'!J22),"(1 facings)","(1 facing)")</f>
        <v>Removed</v>
      </c>
    </row>
    <row r="23" ht="34.5" customHeight="1">
      <c r="A23" s="1" t="str">
        <f>'Product decisions'!A23</f>
        <v>14 ft Giant Animated Dragon</v>
      </c>
      <c r="B23" s="1" t="str">
        <f>SUBSTITUTE(IF('Product decisions'!C23="In-Store","In-Store ("&amp;VLOOKUP(A23,'Source data'!$A$7:$D$32,4,FALSE)&amp;" facings)",'Product decisions'!C23),"(1 facings)","(1 facing)")</f>
        <v>Removed</v>
      </c>
      <c r="C23" s="1" t="str">
        <f>SUBSTITUTE(IF('Product decisions'!H23="In-Store","In-Store ("&amp;VLOOKUP(A23,'Source data'!$A$7:$D$32,4,FALSE)&amp;" facings)",'Product decisions'!H23),"(1 facings)","(1 facing)")</f>
        <v>In-Store (4 facings)</v>
      </c>
      <c r="D23" s="1" t="str">
        <f>SUBSTITUTE(IF('Product decisions'!I23="In-Store","In-Store ("&amp;VLOOKUP(A23,'Source data'!$A$7:$D$32,4,FALSE)&amp;" facings)",'Product decisions'!I23),"(1 facings)","(1 facing)")</f>
        <v>Removed</v>
      </c>
      <c r="E23" s="1" t="str">
        <f>SUBSTITUTE(IF('Product decisions'!J23="In-Store","In-Store ("&amp;VLOOKUP(A23,'Source data'!$A$7:$D$32,4,FALSE)&amp;" facings)",'Product decisions'!J23),"(1 facings)","(1 facing)")</f>
        <v>Removed</v>
      </c>
    </row>
    <row r="24" ht="34.5" customHeight="1">
      <c r="A24" s="1" t="str">
        <f>'Product decisions'!A24</f>
        <v>6 ft Licensed Movie Villain</v>
      </c>
      <c r="B24" s="1" t="str">
        <f>SUBSTITUTE(IF('Product decisions'!C24="In-Store","In-Store ("&amp;VLOOKUP(A24,'Source data'!$A$7:$D$32,4,FALSE)&amp;" facings)",'Product decisions'!C24),"(1 facings)","(1 facing)")</f>
        <v>Removed</v>
      </c>
      <c r="C24" s="1" t="str">
        <f>SUBSTITUTE(IF('Product decisions'!H24="In-Store","In-Store ("&amp;VLOOKUP(A24,'Source data'!$A$7:$D$32,4,FALSE)&amp;" facings)",'Product decisions'!H24),"(1 facings)","(1 facing)")</f>
        <v>In-Store (2 facings)</v>
      </c>
      <c r="D24" s="1" t="str">
        <f>SUBSTITUTE(IF('Product decisions'!I24="In-Store","In-Store ("&amp;VLOOKUP(A24,'Source data'!$A$7:$D$32,4,FALSE)&amp;" facings)",'Product decisions'!I24),"(1 facings)","(1 facing)")</f>
        <v>Removed</v>
      </c>
      <c r="E24" s="1" t="str">
        <f>SUBSTITUTE(IF('Product decisions'!J24="In-Store","In-Store ("&amp;VLOOKUP(A24,'Source data'!$A$7:$D$32,4,FALSE)&amp;" facings)",'Product decisions'!J24),"(1 facings)","(1 facing)")</f>
        <v>Removed</v>
      </c>
    </row>
    <row r="25" ht="34.5" customHeight="1">
      <c r="A25" s="1" t="str">
        <f>'Product decisions'!A25</f>
        <v>9 ft Licensed Franchise Inflatable</v>
      </c>
      <c r="B25" s="1" t="str">
        <f>SUBSTITUTE(IF('Product decisions'!C25="In-Store","In-Store ("&amp;VLOOKUP(A25,'Source data'!$A$7:$D$32,4,FALSE)&amp;" facings)",'Product decisions'!C25),"(1 facings)","(1 facing)")</f>
        <v>Removed</v>
      </c>
      <c r="C25" s="1" t="str">
        <f>SUBSTITUTE(IF('Product decisions'!H25="In-Store","In-Store ("&amp;VLOOKUP(A25,'Source data'!$A$7:$D$32,4,FALSE)&amp;" facings)",'Product decisions'!H25),"(1 facings)","(1 facing)")</f>
        <v>Removed</v>
      </c>
      <c r="D25" s="1" t="str">
        <f>SUBSTITUTE(IF('Product decisions'!I25="In-Store","In-Store ("&amp;VLOOKUP(A25,'Source data'!$A$7:$D$32,4,FALSE)&amp;" facings)",'Product decisions'!I25),"(1 facings)","(1 facing)")</f>
        <v>Removed</v>
      </c>
      <c r="E25" s="1" t="str">
        <f>SUBSTITUTE(IF('Product decisions'!J25="In-Store","In-Store ("&amp;VLOOKUP(A25,'Source data'!$A$7:$D$32,4,FALSE)&amp;" facings)",'Product decisions'!J25),"(1 facings)","(1 facing)")</f>
        <v>Removed</v>
      </c>
    </row>
    <row r="26" ht="34.5" customHeight="1">
      <c r="A26" s="1" t="str">
        <f>'Product decisions'!A26</f>
        <v>7 ft Licensed Sitcom Character</v>
      </c>
      <c r="B26" s="1" t="str">
        <f>SUBSTITUTE(IF('Product decisions'!C26="In-Store","In-Store ("&amp;VLOOKUP(A26,'Source data'!$A$7:$D$32,4,FALSE)&amp;" facings)",'Product decisions'!C26),"(1 facings)","(1 facing)")</f>
        <v>In-Store (2 facings)</v>
      </c>
      <c r="C26" s="1" t="str">
        <f>SUBSTITUTE(IF('Product decisions'!H26="In-Store","In-Store ("&amp;VLOOKUP(A26,'Source data'!$A$7:$D$32,4,FALSE)&amp;" facings)",'Product decisions'!H26),"(1 facings)","(1 facing)")</f>
        <v>In-Store (2 facings)</v>
      </c>
      <c r="D26" s="1" t="str">
        <f>SUBSTITUTE(IF('Product decisions'!I26="In-Store","In-Store ("&amp;VLOOKUP(A26,'Source data'!$A$7:$D$32,4,FALSE)&amp;" facings)",'Product decisions'!I26),"(1 facings)","(1 facing)")</f>
        <v>In-Store (2 facings)</v>
      </c>
      <c r="E26" s="1" t="str">
        <f>SUBSTITUTE(IF('Product decisions'!J26="In-Store","In-Store ("&amp;VLOOKUP(A26,'Source data'!$A$7:$D$32,4,FALSE)&amp;" facings)",'Product decisions'!J26),"(1 facings)","(1 facing)")</f>
        <v>Removed</v>
      </c>
    </row>
    <row r="27" ht="34.5" customHeight="1">
      <c r="A27" s="1" t="str">
        <f>'Product decisions'!A27</f>
        <v>8 ft Inflatable Black Cat</v>
      </c>
      <c r="B27" s="1" t="str">
        <f>SUBSTITUTE(IF('Product decisions'!C27="In-Store","In-Store ("&amp;VLOOKUP(A27,'Source data'!$A$7:$D$32,4,FALSE)&amp;" facings)",'Product decisions'!C27),"(1 facings)","(1 facing)")</f>
        <v>In-Store (1 facing)</v>
      </c>
      <c r="C27" s="1" t="str">
        <f>SUBSTITUTE(IF('Product decisions'!H27="In-Store","In-Store ("&amp;VLOOKUP(A27,'Source data'!$A$7:$D$32,4,FALSE)&amp;" facings)",'Product decisions'!H27),"(1 facings)","(1 facing)")</f>
        <v>In-Store (1 facing)</v>
      </c>
      <c r="D27" s="1" t="str">
        <f>SUBSTITUTE(IF('Product decisions'!I27="In-Store","In-Store ("&amp;VLOOKUP(A27,'Source data'!$A$7:$D$32,4,FALSE)&amp;" facings)",'Product decisions'!I27),"(1 facings)","(1 facing)")</f>
        <v>In-Store (1 facing)</v>
      </c>
      <c r="E27" s="1" t="str">
        <f>SUBSTITUTE(IF('Product decisions'!J27="In-Store","In-Store ("&amp;VLOOKUP(A27,'Source data'!$A$7:$D$32,4,FALSE)&amp;" facings)",'Product decisions'!J27),"(1 facings)","(1 facing)")</f>
        <v>In-Store (1 facing)</v>
      </c>
    </row>
    <row r="28" ht="34.5" customHeight="1">
      <c r="A28" s="1" t="str">
        <f>'Product decisions'!A28</f>
        <v>12 ft Inflatable Haunted Tree</v>
      </c>
      <c r="B28" s="1" t="str">
        <f>SUBSTITUTE(IF('Product decisions'!C28="In-Store","In-Store ("&amp;VLOOKUP(A28,'Source data'!$A$7:$D$32,4,FALSE)&amp;" facings)",'Product decisions'!C28),"(1 facings)","(1 facing)")</f>
        <v>Online-Only</v>
      </c>
      <c r="C28" s="1" t="str">
        <f>SUBSTITUTE(IF('Product decisions'!H28="In-Store","In-Store ("&amp;VLOOKUP(A28,'Source data'!$A$7:$D$32,4,FALSE)&amp;" facings)",'Product decisions'!H28),"(1 facings)","(1 facing)")</f>
        <v>Removed</v>
      </c>
      <c r="D28" s="1" t="str">
        <f>SUBSTITUTE(IF('Product decisions'!I28="In-Store","In-Store ("&amp;VLOOKUP(A28,'Source data'!$A$7:$D$32,4,FALSE)&amp;" facings)",'Product decisions'!I28),"(1 facings)","(1 facing)")</f>
        <v>In-Store (2 facings)</v>
      </c>
      <c r="E28" s="1" t="str">
        <f>SUBSTITUTE(IF('Product decisions'!J28="In-Store","In-Store ("&amp;VLOOKUP(A28,'Source data'!$A$7:$D$32,4,FALSE)&amp;" facings)",'Product decisions'!J28),"(1 facings)","(1 facing)")</f>
        <v>In-Store (2 facings)</v>
      </c>
    </row>
    <row r="29" ht="34.5" customHeight="1">
      <c r="A29" s="1" t="str">
        <f>'Product decisions'!A29</f>
        <v>Fog Machine w/ Bluetooth Sound</v>
      </c>
      <c r="B29" s="1" t="str">
        <f>SUBSTITUTE(IF('Product decisions'!C29="In-Store","In-Store ("&amp;VLOOKUP(A29,'Source data'!$A$7:$D$32,4,FALSE)&amp;" facings)",'Product decisions'!C29),"(1 facings)","(1 facing)")</f>
        <v>Removed</v>
      </c>
      <c r="C29" s="1" t="str">
        <f>SUBSTITUTE(IF('Product decisions'!H29="In-Store","In-Store ("&amp;VLOOKUP(A29,'Source data'!$A$7:$D$32,4,FALSE)&amp;" facings)",'Product decisions'!H29),"(1 facings)","(1 facing)")</f>
        <v>In-Store (1 facing)</v>
      </c>
      <c r="D29" s="1" t="str">
        <f>SUBSTITUTE(IF('Product decisions'!I29="In-Store","In-Store ("&amp;VLOOKUP(A29,'Source data'!$A$7:$D$32,4,FALSE)&amp;" facings)",'Product decisions'!I29),"(1 facings)","(1 facing)")</f>
        <v>Removed</v>
      </c>
      <c r="E29" s="1" t="str">
        <f>SUBSTITUTE(IF('Product decisions'!J29="In-Store","In-Store ("&amp;VLOOKUP(A29,'Source data'!$A$7:$D$32,4,FALSE)&amp;" facings)",'Product decisions'!J29),"(1 facings)","(1 facing)")</f>
        <v>Removed</v>
      </c>
    </row>
    <row r="30" ht="34.5" customHeight="1">
      <c r="A30" s="1" t="str">
        <f>'Product decisions'!A30</f>
        <v>Animated Talking Portrait</v>
      </c>
      <c r="B30" s="1" t="str">
        <f>SUBSTITUTE(IF('Product decisions'!C30="In-Store","In-Store ("&amp;VLOOKUP(A30,'Source data'!$A$7:$D$32,4,FALSE)&amp;" facings)",'Product decisions'!C30),"(1 facings)","(1 facing)")</f>
        <v>In-Store (1 facing)</v>
      </c>
      <c r="C30" s="1" t="str">
        <f>SUBSTITUTE(IF('Product decisions'!H30="In-Store","In-Store ("&amp;VLOOKUP(A30,'Source data'!$A$7:$D$32,4,FALSE)&amp;" facings)",'Product decisions'!H30),"(1 facings)","(1 facing)")</f>
        <v>Removed</v>
      </c>
      <c r="D30" s="1" t="str">
        <f>SUBSTITUTE(IF('Product decisions'!I30="In-Store","In-Store ("&amp;VLOOKUP(A30,'Source data'!$A$7:$D$32,4,FALSE)&amp;" facings)",'Product decisions'!I30),"(1 facings)","(1 facing)")</f>
        <v>In-Store (1 facing)</v>
      </c>
      <c r="E30" s="1" t="str">
        <f>SUBSTITUTE(IF('Product decisions'!J30="In-Store","In-Store ("&amp;VLOOKUP(A30,'Source data'!$A$7:$D$32,4,FALSE)&amp;" facings)",'Product decisions'!J30),"(1 facings)","(1 facing)")</f>
        <v>In-Store (1 facing)</v>
      </c>
    </row>
    <row r="31" ht="34.5" customHeight="1">
      <c r="A31" s="1" t="str">
        <f>'Product decisions'!A31</f>
        <v>Solar Pathway Ghosts (4-pc)</v>
      </c>
      <c r="B31" s="1" t="str">
        <f>SUBSTITUTE(IF('Product decisions'!C31="In-Store","In-Store ("&amp;VLOOKUP(A31,'Source data'!$A$7:$D$32,4,FALSE)&amp;" facings)",'Product decisions'!C31),"(1 facings)","(1 facing)")</f>
        <v>In-Store (1 facing)</v>
      </c>
      <c r="C31" s="1" t="str">
        <f>SUBSTITUTE(IF('Product decisions'!H31="In-Store","In-Store ("&amp;VLOOKUP(A31,'Source data'!$A$7:$D$32,4,FALSE)&amp;" facings)",'Product decisions'!H31),"(1 facings)","(1 facing)")</f>
        <v>Removed</v>
      </c>
      <c r="D31" s="1" t="str">
        <f>SUBSTITUTE(IF('Product decisions'!I31="In-Store","In-Store ("&amp;VLOOKUP(A31,'Source data'!$A$7:$D$32,4,FALSE)&amp;" facings)",'Product decisions'!I31),"(1 facings)","(1 facing)")</f>
        <v>In-Store (1 facing)</v>
      </c>
      <c r="E31" s="1" t="str">
        <f>SUBSTITUTE(IF('Product decisions'!J31="In-Store","In-Store ("&amp;VLOOKUP(A31,'Source data'!$A$7:$D$32,4,FALSE)&amp;" facings)",'Product decisions'!J31),"(1 facings)","(1 facing)")</f>
        <v>In-Store (1 facing)</v>
      </c>
    </row>
    <row r="32" ht="34.5" customHeight="1">
      <c r="A32" s="1" t="str">
        <f>'Product decisions'!A32</f>
        <v>24 in Light-Up Pumpkin Stack</v>
      </c>
      <c r="B32" s="1" t="str">
        <f>SUBSTITUTE(IF('Product decisions'!C32="In-Store","In-Store ("&amp;VLOOKUP(A32,'Source data'!$A$7:$D$32,4,FALSE)&amp;" facings)",'Product decisions'!C32),"(1 facings)","(1 facing)")</f>
        <v>In-Store (1 facing)</v>
      </c>
      <c r="C32" s="1" t="str">
        <f>SUBSTITUTE(IF('Product decisions'!H32="In-Store","In-Store ("&amp;VLOOKUP(A32,'Source data'!$A$7:$D$32,4,FALSE)&amp;" facings)",'Product decisions'!H32),"(1 facings)","(1 facing)")</f>
        <v>In-Store (1 facing)</v>
      </c>
      <c r="D32" s="1" t="str">
        <f>SUBSTITUTE(IF('Product decisions'!I32="In-Store","In-Store ("&amp;VLOOKUP(A32,'Source data'!$A$7:$D$32,4,FALSE)&amp;" facings)",'Product decisions'!I32),"(1 facings)","(1 facing)")</f>
        <v>In-Store (1 facing)</v>
      </c>
      <c r="E32" s="1" t="str">
        <f>SUBSTITUTE(IF('Product decisions'!J32="In-Store","In-Store ("&amp;VLOOKUP(A32,'Source data'!$A$7:$D$32,4,FALSE)&amp;" facings)",'Product decisions'!J32),"(1 facings)","(1 facing)")</f>
        <v>In-Store (1 facing)</v>
      </c>
    </row>
    <row r="33">
      <c r="A33" s="1"/>
      <c r="B33" s="1"/>
      <c r="C33" s="1"/>
      <c r="D33" s="1"/>
      <c r="E33" s="1"/>
    </row>
    <row r="34">
      <c r="A34" s="4" t="s">
        <v>275</v>
      </c>
      <c r="B34" s="4" t="s">
        <v>31</v>
      </c>
      <c r="C34" s="4" t="s">
        <v>38</v>
      </c>
      <c r="D34" s="4" t="s">
        <v>39</v>
      </c>
      <c r="E34" s="4" t="s">
        <v>40</v>
      </c>
    </row>
    <row r="35" ht="26.25" customHeight="1">
      <c r="A35" s="1" t="s">
        <v>5</v>
      </c>
      <c r="B35" s="1">
        <f>'Team summary'!B22</f>
        <v>13</v>
      </c>
      <c r="C35" s="1">
        <f>'Team summary'!B23</f>
        <v>11</v>
      </c>
      <c r="D35" s="1">
        <f>'Team summary'!B24</f>
        <v>12</v>
      </c>
      <c r="E35" s="1">
        <f>'Team summary'!B25</f>
        <v>13</v>
      </c>
    </row>
    <row r="36" ht="26.25" customHeight="1">
      <c r="A36" s="1" t="s">
        <v>276</v>
      </c>
      <c r="B36" s="1">
        <f>'Team summary'!C22</f>
        <v>16</v>
      </c>
      <c r="C36" s="1">
        <f>'Team summary'!C23</f>
        <v>16</v>
      </c>
      <c r="D36" s="1">
        <f>'Team summary'!C24</f>
        <v>16</v>
      </c>
      <c r="E36" s="1">
        <f>'Team summary'!C25</f>
        <v>16</v>
      </c>
    </row>
    <row r="37" ht="26.25" customHeight="1">
      <c r="A37" s="1" t="s">
        <v>277</v>
      </c>
      <c r="B37" s="1">
        <f>'Team summary'!D22</f>
        <v>4</v>
      </c>
      <c r="C37" s="1">
        <f>'Team summary'!D23</f>
        <v>4</v>
      </c>
      <c r="D37" s="1">
        <f>'Team summary'!D24</f>
        <v>3</v>
      </c>
      <c r="E37" s="1">
        <f>'Team summary'!D25</f>
        <v>4</v>
      </c>
    </row>
    <row r="38">
      <c r="A38" s="1"/>
      <c r="B38" s="1"/>
      <c r="C38" s="1"/>
      <c r="D38" s="1"/>
      <c r="E38" s="1"/>
    </row>
    <row r="39">
      <c r="A39" s="1"/>
      <c r="B39" s="1"/>
      <c r="C39" s="1"/>
      <c r="D39" s="1"/>
      <c r="E39" s="1"/>
    </row>
    <row r="40">
      <c r="A40" s="4" t="s">
        <v>59</v>
      </c>
      <c r="B40" s="4" t="s">
        <v>237</v>
      </c>
      <c r="C40" s="4"/>
      <c r="D40" s="4"/>
      <c r="E40" s="4"/>
    </row>
    <row r="41" ht="63.0" customHeight="1">
      <c r="A41" s="1" t="s">
        <v>31</v>
      </c>
      <c r="B41" s="1" t="s">
        <v>278</v>
      </c>
    </row>
    <row r="42" ht="63.0" customHeight="1">
      <c r="A42" s="1" t="s">
        <v>38</v>
      </c>
      <c r="B42" s="1" t="s">
        <v>279</v>
      </c>
    </row>
    <row r="43" ht="63.0" customHeight="1">
      <c r="A43" s="1" t="s">
        <v>39</v>
      </c>
      <c r="B43" s="1" t="s">
        <v>280</v>
      </c>
    </row>
    <row r="44" ht="63.0" customHeight="1">
      <c r="A44" s="1" t="s">
        <v>40</v>
      </c>
      <c r="B44" s="45" t="s">
        <v>281</v>
      </c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</sheetData>
  <mergeCells count="6">
    <mergeCell ref="A2:E2"/>
    <mergeCell ref="A4:E4"/>
    <mergeCell ref="B41:E41"/>
    <mergeCell ref="B42:E42"/>
    <mergeCell ref="B43:E43"/>
    <mergeCell ref="B44:E44"/>
  </mergeCells>
  <conditionalFormatting sqref="B7:E32">
    <cfRule type="containsText" dxfId="7" priority="1" stopIfTrue="1" operator="containsText" text="Removed">
      <formula>NOT(ISERROR(SEARCH(("Removed"),(B7))))</formula>
    </cfRule>
  </conditionalFormatting>
  <conditionalFormatting sqref="B7:E32">
    <cfRule type="containsText" dxfId="8" priority="2" stopIfTrue="1" operator="containsText" text="Online-Only">
      <formula>NOT(ISERROR(SEARCH(("Online-Only"),(B7))))</formula>
    </cfRule>
  </conditionalFormatting>
  <conditionalFormatting sqref="B7:E32">
    <cfRule type="containsText" dxfId="9" priority="3" stopIfTrue="1" operator="containsText" text="In-Store">
      <formula>NOT(ISERROR(SEARCH(("In-Store"),(B7))))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35.75"/>
    <col customWidth="1" min="2" max="5" width="13.25"/>
    <col customWidth="1" min="6" max="6" width="15.75"/>
    <col customWidth="1" min="7" max="7" width="57.63"/>
  </cols>
  <sheetData>
    <row r="1">
      <c r="A1" s="1"/>
      <c r="B1" s="1"/>
      <c r="C1" s="1"/>
      <c r="D1" s="1"/>
      <c r="E1" s="1"/>
      <c r="F1" s="1"/>
      <c r="G1" s="1"/>
    </row>
    <row r="2" ht="31.5" customHeight="1">
      <c r="A2" s="2" t="s">
        <v>188</v>
      </c>
    </row>
    <row r="3">
      <c r="A3" s="1"/>
      <c r="B3" s="1"/>
      <c r="C3" s="1"/>
      <c r="D3" s="1"/>
      <c r="E3" s="1"/>
      <c r="F3" s="1"/>
      <c r="G3" s="1"/>
    </row>
    <row r="4" ht="31.5" customHeight="1">
      <c r="A4" s="1" t="s">
        <v>189</v>
      </c>
    </row>
    <row r="5">
      <c r="A5" s="1"/>
      <c r="B5" s="1"/>
      <c r="C5" s="1"/>
      <c r="D5" s="1"/>
      <c r="E5" s="1"/>
      <c r="F5" s="1"/>
      <c r="G5" s="1"/>
    </row>
    <row r="6" ht="36.0" customHeight="1">
      <c r="A6" s="4" t="s">
        <v>26</v>
      </c>
      <c r="B6" s="4" t="s">
        <v>190</v>
      </c>
      <c r="C6" s="4" t="s">
        <v>191</v>
      </c>
      <c r="D6" s="4" t="s">
        <v>192</v>
      </c>
      <c r="E6" s="4" t="s">
        <v>193</v>
      </c>
      <c r="F6" s="4" t="s">
        <v>194</v>
      </c>
      <c r="G6" s="4" t="s">
        <v>195</v>
      </c>
    </row>
    <row r="7" ht="67.5" customHeight="1">
      <c r="A7" s="1" t="str">
        <f>'Source data'!A7</f>
        <v>12 ft Giant Skeleton</v>
      </c>
      <c r="B7" s="31">
        <f>'Source data'!J7</f>
        <v>18000</v>
      </c>
      <c r="C7" s="31">
        <f>'Source data'!K7</f>
        <v>22000</v>
      </c>
      <c r="D7" s="33">
        <f t="shared" ref="D7:D22" si="1">IF(B7+C7=0,"Not available",B7/(B7+C7))</f>
        <v>0.45</v>
      </c>
      <c r="E7" s="33">
        <f t="shared" ref="E7:E22" si="2">IF(B7+C7=0,"Not available",C7/(B7+C7))</f>
        <v>0.55</v>
      </c>
      <c r="F7" s="1" t="str">
        <f>VLOOKUP(A7,'Product decisions'!$A$7:$C$32,3,FALSE)</f>
        <v>In-Store</v>
      </c>
      <c r="G7" s="1" t="s">
        <v>198</v>
      </c>
    </row>
    <row r="8" ht="67.5" customHeight="1">
      <c r="A8" s="1" t="str">
        <f>'Source data'!A8</f>
        <v>9 ft Animated Pirate Ship</v>
      </c>
      <c r="B8" s="31">
        <f>'Source data'!J8</f>
        <v>2700</v>
      </c>
      <c r="C8" s="31">
        <f>'Source data'!K8</f>
        <v>6300</v>
      </c>
      <c r="D8" s="33">
        <f t="shared" si="1"/>
        <v>0.3</v>
      </c>
      <c r="E8" s="33">
        <f t="shared" si="2"/>
        <v>0.7</v>
      </c>
      <c r="F8" s="1" t="str">
        <f>VLOOKUP(A8,'Product decisions'!$A$7:$C$32,3,FALSE)</f>
        <v>Online-Only</v>
      </c>
      <c r="G8" s="1" t="s">
        <v>208</v>
      </c>
    </row>
    <row r="9" ht="67.5" customHeight="1">
      <c r="A9" s="1" t="str">
        <f>'Source data'!A9</f>
        <v>7 ft Animated Reaper</v>
      </c>
      <c r="B9" s="31">
        <f>'Source data'!J9</f>
        <v>6000</v>
      </c>
      <c r="C9" s="31">
        <f>'Source data'!K9</f>
        <v>6000</v>
      </c>
      <c r="D9" s="33">
        <f t="shared" si="1"/>
        <v>0.5</v>
      </c>
      <c r="E9" s="33">
        <f t="shared" si="2"/>
        <v>0.5</v>
      </c>
      <c r="F9" s="1" t="str">
        <f>VLOOKUP(A9,'Product decisions'!$A$7:$C$32,3,FALSE)</f>
        <v>In-Store</v>
      </c>
      <c r="G9" s="1" t="s">
        <v>210</v>
      </c>
    </row>
    <row r="10" ht="67.5" customHeight="1">
      <c r="A10" s="1" t="str">
        <f>'Source data'!A10</f>
        <v>5.5 ft LED Skeleton Pony</v>
      </c>
      <c r="B10" s="31">
        <f>'Source data'!J10</f>
        <v>7700</v>
      </c>
      <c r="C10" s="31">
        <f>'Source data'!K10</f>
        <v>6300</v>
      </c>
      <c r="D10" s="33">
        <f t="shared" si="1"/>
        <v>0.55</v>
      </c>
      <c r="E10" s="33">
        <f t="shared" si="2"/>
        <v>0.45</v>
      </c>
      <c r="F10" s="1" t="str">
        <f>VLOOKUP(A10,'Product decisions'!$A$7:$C$32,3,FALSE)</f>
        <v>In-Store</v>
      </c>
      <c r="G10" s="1" t="s">
        <v>211</v>
      </c>
    </row>
    <row r="11" ht="67.5" customHeight="1">
      <c r="A11" s="1" t="str">
        <f>'Source data'!A11</f>
        <v>10.5 ft Licensed Character Inflatable</v>
      </c>
      <c r="B11" s="31">
        <f>'Source data'!J11</f>
        <v>3200</v>
      </c>
      <c r="C11" s="31">
        <f>'Source data'!K11</f>
        <v>4800</v>
      </c>
      <c r="D11" s="33">
        <f t="shared" si="1"/>
        <v>0.4</v>
      </c>
      <c r="E11" s="33">
        <f t="shared" si="2"/>
        <v>0.6</v>
      </c>
      <c r="F11" s="1" t="str">
        <f>VLOOKUP(A11,'Product decisions'!$A$7:$C$32,3,FALSE)</f>
        <v>Removed</v>
      </c>
      <c r="G11" s="1" t="s">
        <v>212</v>
      </c>
    </row>
    <row r="12" ht="67.5" customHeight="1">
      <c r="A12" s="1" t="str">
        <f>'Source data'!A12</f>
        <v>9.5 ft Licensed Sandworm Inflatable</v>
      </c>
      <c r="B12" s="31">
        <f>'Source data'!J12</f>
        <v>1750</v>
      </c>
      <c r="C12" s="31">
        <f>'Source data'!K12</f>
        <v>3250</v>
      </c>
      <c r="D12" s="33">
        <f t="shared" si="1"/>
        <v>0.35</v>
      </c>
      <c r="E12" s="33">
        <f t="shared" si="2"/>
        <v>0.65</v>
      </c>
      <c r="F12" s="1" t="str">
        <f>VLOOKUP(A12,'Product decisions'!$A$7:$C$32,3,FALSE)</f>
        <v>In-Store</v>
      </c>
      <c r="G12" s="1" t="s">
        <v>214</v>
      </c>
    </row>
    <row r="13" ht="67.5" customHeight="1">
      <c r="A13" s="1" t="str">
        <f>'Source data'!A13</f>
        <v>12 ft Reaper Inflatable</v>
      </c>
      <c r="B13" s="31">
        <f>'Source data'!J13</f>
        <v>2700</v>
      </c>
      <c r="C13" s="31">
        <f>'Source data'!K13</f>
        <v>3300</v>
      </c>
      <c r="D13" s="33">
        <f t="shared" si="1"/>
        <v>0.45</v>
      </c>
      <c r="E13" s="33">
        <f t="shared" si="2"/>
        <v>0.55</v>
      </c>
      <c r="F13" s="1" t="str">
        <f>VLOOKUP(A13,'Product decisions'!$A$7:$C$32,3,FALSE)</f>
        <v>Removed</v>
      </c>
      <c r="G13" s="1" t="s">
        <v>215</v>
      </c>
    </row>
    <row r="14" ht="67.5" customHeight="1">
      <c r="A14" s="1" t="str">
        <f>'Source data'!A14</f>
        <v>6 ft Scarecrow Inflatable</v>
      </c>
      <c r="B14" s="31">
        <f>'Source data'!J14</f>
        <v>13000</v>
      </c>
      <c r="C14" s="31">
        <f>'Source data'!K14</f>
        <v>7000</v>
      </c>
      <c r="D14" s="33">
        <f t="shared" si="1"/>
        <v>0.65</v>
      </c>
      <c r="E14" s="33">
        <f t="shared" si="2"/>
        <v>0.35</v>
      </c>
      <c r="F14" s="1" t="str">
        <f>VLOOKUP(A14,'Product decisions'!$A$7:$C$32,3,FALSE)</f>
        <v>In-Store</v>
      </c>
      <c r="G14" s="1" t="s">
        <v>217</v>
      </c>
    </row>
    <row r="15" ht="67.5" customHeight="1">
      <c r="A15" s="1" t="str">
        <f>'Source data'!A15</f>
        <v>24 in Metal Tombstone</v>
      </c>
      <c r="B15" s="31">
        <f>'Source data'!J15</f>
        <v>21000</v>
      </c>
      <c r="C15" s="31">
        <f>'Source data'!K15</f>
        <v>9000</v>
      </c>
      <c r="D15" s="33">
        <f t="shared" si="1"/>
        <v>0.7</v>
      </c>
      <c r="E15" s="33">
        <f t="shared" si="2"/>
        <v>0.3</v>
      </c>
      <c r="F15" s="1" t="str">
        <f>VLOOKUP(A15,'Product decisions'!$A$7:$C$32,3,FALSE)</f>
        <v>In-Store</v>
      </c>
      <c r="G15" s="1" t="s">
        <v>219</v>
      </c>
    </row>
    <row r="16" ht="67.5" customHeight="1">
      <c r="A16" s="1" t="str">
        <f>'Source data'!A16</f>
        <v>5 ft Skeleton Tombstone</v>
      </c>
      <c r="B16" s="31">
        <f>'Source data'!J16</f>
        <v>3150</v>
      </c>
      <c r="C16" s="31">
        <f>'Source data'!K16</f>
        <v>3850</v>
      </c>
      <c r="D16" s="33">
        <f t="shared" si="1"/>
        <v>0.45</v>
      </c>
      <c r="E16" s="33">
        <f t="shared" si="2"/>
        <v>0.55</v>
      </c>
      <c r="F16" s="1" t="str">
        <f>VLOOKUP(A16,'Product decisions'!$A$7:$C$32,3,FALSE)</f>
        <v>In-Store</v>
      </c>
      <c r="G16" s="1" t="s">
        <v>220</v>
      </c>
    </row>
    <row r="17" ht="67.5" customHeight="1">
      <c r="A17" s="1" t="str">
        <f>'Source data'!A17</f>
        <v>LED Fog Machine</v>
      </c>
      <c r="B17" s="31">
        <f>'Source data'!J17</f>
        <v>15000</v>
      </c>
      <c r="C17" s="31">
        <f>'Source data'!K17</f>
        <v>10000</v>
      </c>
      <c r="D17" s="33">
        <f t="shared" si="1"/>
        <v>0.6</v>
      </c>
      <c r="E17" s="33">
        <f t="shared" si="2"/>
        <v>0.4</v>
      </c>
      <c r="F17" s="1" t="str">
        <f>VLOOKUP(A17,'Product decisions'!$A$7:$C$32,3,FALSE)</f>
        <v>Removed</v>
      </c>
      <c r="G17" s="1" t="s">
        <v>222</v>
      </c>
    </row>
    <row r="18" ht="67.5" customHeight="1">
      <c r="A18" s="1" t="str">
        <f>'Source data'!A18</f>
        <v>Pathway Light Set (6-piece)</v>
      </c>
      <c r="B18" s="31">
        <f>'Source data'!J18</f>
        <v>12600</v>
      </c>
      <c r="C18" s="31">
        <f>'Source data'!K18</f>
        <v>5400</v>
      </c>
      <c r="D18" s="33">
        <f t="shared" si="1"/>
        <v>0.7</v>
      </c>
      <c r="E18" s="33">
        <f t="shared" si="2"/>
        <v>0.3</v>
      </c>
      <c r="F18" s="1" t="str">
        <f>VLOOKUP(A18,'Product decisions'!$A$7:$C$32,3,FALSE)</f>
        <v>In-Store</v>
      </c>
      <c r="G18" s="1" t="s">
        <v>224</v>
      </c>
    </row>
    <row r="19" ht="67.5" customHeight="1">
      <c r="A19" s="1" t="str">
        <f>'Source data'!A19</f>
        <v>16 ft Inflatable Haunted Archway</v>
      </c>
      <c r="B19" s="31">
        <f>'Source data'!J19</f>
        <v>0</v>
      </c>
      <c r="C19" s="31">
        <f>'Source data'!K19</f>
        <v>6000</v>
      </c>
      <c r="D19" s="33">
        <f t="shared" si="1"/>
        <v>0</v>
      </c>
      <c r="E19" s="33">
        <f t="shared" si="2"/>
        <v>1</v>
      </c>
      <c r="F19" s="1" t="str">
        <f>VLOOKUP(A19,'Product decisions'!$A$7:$C$32,3,FALSE)</f>
        <v>Online-Only</v>
      </c>
      <c r="G19" s="1" t="s">
        <v>226</v>
      </c>
    </row>
    <row r="20" ht="67.5" customHeight="1">
      <c r="A20" s="1" t="str">
        <f>'Source data'!A20</f>
        <v>Life-Size Animated Butler</v>
      </c>
      <c r="B20" s="31">
        <f>'Source data'!J20</f>
        <v>0</v>
      </c>
      <c r="C20" s="31">
        <f>'Source data'!K20</f>
        <v>4000</v>
      </c>
      <c r="D20" s="33">
        <f t="shared" si="1"/>
        <v>0</v>
      </c>
      <c r="E20" s="33">
        <f t="shared" si="2"/>
        <v>1</v>
      </c>
      <c r="F20" s="1" t="str">
        <f>VLOOKUP(A20,'Product decisions'!$A$7:$C$32,3,FALSE)</f>
        <v>Online-Only</v>
      </c>
      <c r="G20" s="1" t="s">
        <v>228</v>
      </c>
    </row>
    <row r="21" ht="67.5" customHeight="1">
      <c r="A21" s="1" t="str">
        <f>'Source data'!A21</f>
        <v>Animated Witch Cauldron</v>
      </c>
      <c r="B21" s="31">
        <f>'Source data'!J21</f>
        <v>0</v>
      </c>
      <c r="C21" s="31">
        <f>'Source data'!K21</f>
        <v>5000</v>
      </c>
      <c r="D21" s="33">
        <f t="shared" si="1"/>
        <v>0</v>
      </c>
      <c r="E21" s="33">
        <f t="shared" si="2"/>
        <v>1</v>
      </c>
      <c r="F21" s="1" t="str">
        <f>VLOOKUP(A21,'Product decisions'!$A$7:$C$32,3,FALSE)</f>
        <v>Removed</v>
      </c>
      <c r="G21" s="1" t="s">
        <v>230</v>
      </c>
    </row>
    <row r="22" ht="67.5" customHeight="1">
      <c r="A22" s="1" t="str">
        <f>'Source data'!A22</f>
        <v>Halloween Doormat Assortment</v>
      </c>
      <c r="B22" s="31">
        <f>'Source data'!J22</f>
        <v>0</v>
      </c>
      <c r="C22" s="31">
        <f>'Source data'!K22</f>
        <v>9000</v>
      </c>
      <c r="D22" s="33">
        <f t="shared" si="1"/>
        <v>0</v>
      </c>
      <c r="E22" s="33">
        <f t="shared" si="2"/>
        <v>1</v>
      </c>
      <c r="F22" s="1" t="str">
        <f>VLOOKUP(A22,'Product decisions'!$A$7:$C$32,3,FALSE)</f>
        <v>Removed</v>
      </c>
      <c r="G22" s="1" t="s">
        <v>232</v>
      </c>
    </row>
    <row r="23" ht="67.5" customHeight="1">
      <c r="A23" s="1" t="str">
        <f>'Source data'!A23</f>
        <v>14 ft Giant Animated Dragon</v>
      </c>
      <c r="B23" s="31" t="s">
        <v>233</v>
      </c>
      <c r="C23" s="31" t="s">
        <v>233</v>
      </c>
      <c r="D23" s="33" t="s">
        <v>233</v>
      </c>
      <c r="E23" s="33" t="s">
        <v>233</v>
      </c>
      <c r="F23" s="1" t="str">
        <f>VLOOKUP(A23,'Product decisions'!$A$7:$C$32,3,FALSE)</f>
        <v>Removed</v>
      </c>
      <c r="G23" s="1" t="s">
        <v>234</v>
      </c>
    </row>
    <row r="24" ht="67.5" customHeight="1">
      <c r="A24" s="1" t="str">
        <f>'Source data'!A24</f>
        <v>6 ft Licensed Movie Villain</v>
      </c>
      <c r="B24" s="31" t="s">
        <v>233</v>
      </c>
      <c r="C24" s="31" t="s">
        <v>233</v>
      </c>
      <c r="D24" s="33" t="s">
        <v>233</v>
      </c>
      <c r="E24" s="33" t="s">
        <v>233</v>
      </c>
      <c r="F24" s="1" t="str">
        <f>VLOOKUP(A24,'Product decisions'!$A$7:$C$32,3,FALSE)</f>
        <v>Removed</v>
      </c>
      <c r="G24" s="1" t="s">
        <v>234</v>
      </c>
    </row>
    <row r="25" ht="67.5" customHeight="1">
      <c r="A25" s="1" t="str">
        <f>'Source data'!A25</f>
        <v>9 ft Licensed Franchise Inflatable</v>
      </c>
      <c r="B25" s="31" t="s">
        <v>233</v>
      </c>
      <c r="C25" s="31" t="s">
        <v>233</v>
      </c>
      <c r="D25" s="33" t="s">
        <v>233</v>
      </c>
      <c r="E25" s="33" t="s">
        <v>233</v>
      </c>
      <c r="F25" s="1" t="str">
        <f>VLOOKUP(A25,'Product decisions'!$A$7:$C$32,3,FALSE)</f>
        <v>Removed</v>
      </c>
      <c r="G25" s="1" t="s">
        <v>234</v>
      </c>
    </row>
    <row r="26" ht="67.5" customHeight="1">
      <c r="A26" s="1" t="str">
        <f>'Source data'!A26</f>
        <v>7 ft Licensed Sitcom Character</v>
      </c>
      <c r="B26" s="31" t="s">
        <v>233</v>
      </c>
      <c r="C26" s="31" t="s">
        <v>233</v>
      </c>
      <c r="D26" s="33" t="s">
        <v>233</v>
      </c>
      <c r="E26" s="33" t="s">
        <v>233</v>
      </c>
      <c r="F26" s="1" t="str">
        <f>VLOOKUP(A26,'Product decisions'!$A$7:$C$32,3,FALSE)</f>
        <v>In-Store</v>
      </c>
      <c r="G26" s="1" t="s">
        <v>234</v>
      </c>
    </row>
    <row r="27" ht="67.5" customHeight="1">
      <c r="A27" s="1" t="str">
        <f>'Source data'!A27</f>
        <v>8 ft Inflatable Black Cat</v>
      </c>
      <c r="B27" s="31" t="s">
        <v>233</v>
      </c>
      <c r="C27" s="31" t="s">
        <v>233</v>
      </c>
      <c r="D27" s="33" t="s">
        <v>233</v>
      </c>
      <c r="E27" s="33" t="s">
        <v>233</v>
      </c>
      <c r="F27" s="1" t="str">
        <f>VLOOKUP(A27,'Product decisions'!$A$7:$C$32,3,FALSE)</f>
        <v>In-Store</v>
      </c>
      <c r="G27" s="1" t="s">
        <v>234</v>
      </c>
    </row>
    <row r="28" ht="67.5" customHeight="1">
      <c r="A28" s="1" t="str">
        <f>'Source data'!A28</f>
        <v>12 ft Inflatable Haunted Tree</v>
      </c>
      <c r="B28" s="31" t="s">
        <v>233</v>
      </c>
      <c r="C28" s="31" t="s">
        <v>233</v>
      </c>
      <c r="D28" s="33" t="s">
        <v>233</v>
      </c>
      <c r="E28" s="33" t="s">
        <v>233</v>
      </c>
      <c r="F28" s="1" t="str">
        <f>VLOOKUP(A28,'Product decisions'!$A$7:$C$32,3,FALSE)</f>
        <v>Online-Only</v>
      </c>
      <c r="G28" s="1" t="s">
        <v>234</v>
      </c>
    </row>
    <row r="29" ht="67.5" customHeight="1">
      <c r="A29" s="1" t="str">
        <f>'Source data'!A29</f>
        <v>Fog Machine w/ Bluetooth Sound</v>
      </c>
      <c r="B29" s="31" t="s">
        <v>233</v>
      </c>
      <c r="C29" s="31" t="s">
        <v>233</v>
      </c>
      <c r="D29" s="33" t="s">
        <v>233</v>
      </c>
      <c r="E29" s="33" t="s">
        <v>233</v>
      </c>
      <c r="F29" s="1" t="str">
        <f>VLOOKUP(A29,'Product decisions'!$A$7:$C$32,3,FALSE)</f>
        <v>Removed</v>
      </c>
      <c r="G29" s="1" t="s">
        <v>234</v>
      </c>
    </row>
    <row r="30" ht="67.5" customHeight="1">
      <c r="A30" s="1" t="str">
        <f>'Source data'!A30</f>
        <v>Animated Talking Portrait</v>
      </c>
      <c r="B30" s="31" t="s">
        <v>233</v>
      </c>
      <c r="C30" s="31" t="s">
        <v>233</v>
      </c>
      <c r="D30" s="33" t="s">
        <v>233</v>
      </c>
      <c r="E30" s="33" t="s">
        <v>233</v>
      </c>
      <c r="F30" s="1" t="str">
        <f>VLOOKUP(A30,'Product decisions'!$A$7:$C$32,3,FALSE)</f>
        <v>In-Store</v>
      </c>
      <c r="G30" s="1" t="s">
        <v>234</v>
      </c>
    </row>
    <row r="31" ht="67.5" customHeight="1">
      <c r="A31" s="1" t="str">
        <f>'Source data'!A31</f>
        <v>Solar Pathway Ghosts (4-pc)</v>
      </c>
      <c r="B31" s="31" t="s">
        <v>233</v>
      </c>
      <c r="C31" s="31" t="s">
        <v>233</v>
      </c>
      <c r="D31" s="33" t="s">
        <v>233</v>
      </c>
      <c r="E31" s="33" t="s">
        <v>233</v>
      </c>
      <c r="F31" s="1" t="str">
        <f>VLOOKUP(A31,'Product decisions'!$A$7:$C$32,3,FALSE)</f>
        <v>In-Store</v>
      </c>
      <c r="G31" s="1" t="s">
        <v>234</v>
      </c>
    </row>
    <row r="32" ht="67.5" customHeight="1">
      <c r="A32" s="1" t="str">
        <f>'Source data'!A32</f>
        <v>24 in Light-Up Pumpkin Stack</v>
      </c>
      <c r="B32" s="31" t="s">
        <v>233</v>
      </c>
      <c r="C32" s="31" t="s">
        <v>233</v>
      </c>
      <c r="D32" s="33" t="s">
        <v>233</v>
      </c>
      <c r="E32" s="33" t="s">
        <v>233</v>
      </c>
      <c r="F32" s="1" t="str">
        <f>VLOOKUP(A32,'Product decisions'!$A$7:$C$32,3,FALSE)</f>
        <v>In-Store</v>
      </c>
      <c r="G32" s="1" t="s">
        <v>234</v>
      </c>
    </row>
    <row r="33">
      <c r="A33" s="1"/>
      <c r="B33" s="1"/>
      <c r="C33" s="1"/>
      <c r="D33" s="1"/>
      <c r="E33" s="1"/>
      <c r="F33" s="1"/>
      <c r="G33" s="1"/>
    </row>
    <row r="34">
      <c r="A34" s="1"/>
      <c r="B34" s="1"/>
      <c r="C34" s="1"/>
      <c r="D34" s="1"/>
      <c r="E34" s="1"/>
      <c r="F34" s="1"/>
      <c r="G34" s="1"/>
    </row>
    <row r="35" ht="31.5" customHeight="1">
      <c r="A35" s="1" t="s">
        <v>250</v>
      </c>
    </row>
    <row r="36">
      <c r="A36" s="1"/>
      <c r="B36" s="1"/>
      <c r="C36" s="1"/>
      <c r="D36" s="1"/>
      <c r="E36" s="1"/>
      <c r="F36" s="1"/>
      <c r="G36" s="1"/>
    </row>
    <row r="37" ht="31.5" customHeight="1">
      <c r="A37" s="1" t="s">
        <v>253</v>
      </c>
    </row>
    <row r="38">
      <c r="A38" s="1"/>
      <c r="B38" s="1"/>
      <c r="C38" s="1"/>
      <c r="D38" s="1"/>
      <c r="E38" s="1"/>
      <c r="F38" s="1"/>
      <c r="G38" s="1"/>
    </row>
    <row r="39">
      <c r="A39" s="1"/>
      <c r="B39" s="1"/>
      <c r="C39" s="1"/>
      <c r="D39" s="1"/>
      <c r="E39" s="1"/>
      <c r="F39" s="1"/>
      <c r="G39" s="1"/>
    </row>
    <row r="40">
      <c r="A40" s="1"/>
      <c r="B40" s="1"/>
      <c r="C40" s="1"/>
      <c r="D40" s="1"/>
      <c r="E40" s="1"/>
      <c r="F40" s="1"/>
      <c r="G40" s="1"/>
    </row>
    <row r="41">
      <c r="A41" s="1"/>
      <c r="B41" s="1"/>
      <c r="C41" s="1"/>
      <c r="D41" s="1"/>
      <c r="E41" s="1"/>
      <c r="F41" s="1"/>
      <c r="G41" s="1"/>
    </row>
    <row r="42">
      <c r="A42" s="1"/>
      <c r="B42" s="1"/>
      <c r="C42" s="1"/>
      <c r="D42" s="1"/>
      <c r="E42" s="1"/>
      <c r="F42" s="1"/>
      <c r="G42" s="1"/>
    </row>
    <row r="43">
      <c r="A43" s="1"/>
      <c r="B43" s="1"/>
      <c r="C43" s="1"/>
      <c r="D43" s="1"/>
      <c r="E43" s="1"/>
      <c r="F43" s="1"/>
      <c r="G43" s="1"/>
    </row>
    <row r="44">
      <c r="A44" s="1"/>
      <c r="B44" s="1"/>
      <c r="C44" s="1"/>
      <c r="D44" s="1"/>
      <c r="E44" s="1"/>
      <c r="F44" s="1"/>
      <c r="G44" s="1"/>
    </row>
    <row r="45">
      <c r="A45" s="1"/>
      <c r="B45" s="1"/>
      <c r="C45" s="1"/>
      <c r="D45" s="1"/>
      <c r="E45" s="1"/>
      <c r="F45" s="1"/>
      <c r="G45" s="1"/>
    </row>
    <row r="46">
      <c r="A46" s="1"/>
      <c r="B46" s="1"/>
      <c r="C46" s="1"/>
      <c r="D46" s="1"/>
      <c r="E46" s="1"/>
      <c r="F46" s="1"/>
      <c r="G46" s="1"/>
    </row>
    <row r="47">
      <c r="A47" s="1"/>
      <c r="B47" s="1"/>
      <c r="C47" s="1"/>
      <c r="D47" s="1"/>
      <c r="E47" s="1"/>
      <c r="F47" s="1"/>
      <c r="G47" s="1"/>
    </row>
  </sheetData>
  <mergeCells count="4">
    <mergeCell ref="A2:G2"/>
    <mergeCell ref="A4:G4"/>
    <mergeCell ref="A35:G35"/>
    <mergeCell ref="A37:G3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36.0"/>
    <col customWidth="1" min="2" max="3" width="12.0"/>
    <col customWidth="1" min="4" max="4" width="25.0"/>
    <col customWidth="1" min="5" max="9" width="19.0"/>
    <col customWidth="1" min="10" max="10" width="58.0"/>
    <col customWidth="1" min="11" max="26" width="8.63"/>
  </cols>
  <sheetData>
    <row r="1" ht="24.0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ht="24.0" customHeight="1">
      <c r="A2" s="24" t="s">
        <v>265</v>
      </c>
      <c r="B2" s="3"/>
      <c r="C2" s="3"/>
      <c r="D2" s="3"/>
      <c r="E2" s="3"/>
      <c r="F2" s="3"/>
      <c r="G2" s="3"/>
      <c r="H2" s="3"/>
      <c r="I2" s="3"/>
      <c r="J2" s="3"/>
    </row>
    <row r="3" ht="24.0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ht="24.0" customHeight="1">
      <c r="A4" s="3" t="s">
        <v>266</v>
      </c>
      <c r="B4" s="3"/>
      <c r="C4" s="3"/>
      <c r="D4" s="3"/>
      <c r="E4" s="3"/>
      <c r="F4" s="3"/>
      <c r="G4" s="3"/>
      <c r="H4" s="3"/>
      <c r="I4" s="3"/>
      <c r="J4" s="3"/>
    </row>
    <row r="5" ht="24.0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ht="37.5" customHeight="1">
      <c r="A6" s="8" t="s">
        <v>26</v>
      </c>
      <c r="B6" s="8" t="s">
        <v>35</v>
      </c>
      <c r="C6" s="8" t="s">
        <v>36</v>
      </c>
      <c r="D6" s="8" t="s">
        <v>267</v>
      </c>
      <c r="E6" s="8" t="s">
        <v>9</v>
      </c>
      <c r="F6" s="8" t="s">
        <v>268</v>
      </c>
      <c r="G6" s="8" t="s">
        <v>269</v>
      </c>
      <c r="H6" s="8" t="s">
        <v>270</v>
      </c>
      <c r="I6" s="8" t="s">
        <v>271</v>
      </c>
      <c r="J6" s="8" t="s">
        <v>272</v>
      </c>
    </row>
    <row r="7" ht="60.0" customHeight="1">
      <c r="A7" s="9" t="s">
        <v>54</v>
      </c>
      <c r="B7" s="42">
        <v>4.5</v>
      </c>
      <c r="C7" s="43">
        <v>1200.0</v>
      </c>
      <c r="D7" s="9" t="s">
        <v>273</v>
      </c>
      <c r="E7" s="27">
        <f>'Source data'!H7/'Source data'!G7</f>
        <v>0.95</v>
      </c>
      <c r="F7" s="27">
        <f>'Source data'!O7/'Source data'!N7</f>
        <v>0.5677900695</v>
      </c>
      <c r="G7" s="26">
        <f>'Source data'!O7</f>
        <v>6621000</v>
      </c>
      <c r="H7" s="27">
        <f>'Source data'!O7/('Source data'!F7*'Source data'!G7)</f>
        <v>1.313690476</v>
      </c>
      <c r="I7" s="44">
        <f>'Source data'!E7*Assumptions!$D$7-'Source data'!F7</f>
        <v>23.5</v>
      </c>
      <c r="J7" s="9" t="s">
        <v>274</v>
      </c>
    </row>
    <row r="8" ht="60.0" customHeight="1">
      <c r="A8" s="9" t="s">
        <v>74</v>
      </c>
      <c r="B8" s="42">
        <v>4.3</v>
      </c>
      <c r="C8" s="43">
        <v>95.0</v>
      </c>
      <c r="D8" s="9" t="s">
        <v>273</v>
      </c>
      <c r="E8" s="27">
        <f>'Source data'!H8/'Source data'!G8</f>
        <v>0.6</v>
      </c>
      <c r="F8" s="27">
        <f>'Source data'!O8/'Source data'!N8</f>
        <v>0.4235588972</v>
      </c>
      <c r="G8" s="26">
        <f>'Source data'!O8</f>
        <v>1216800</v>
      </c>
      <c r="H8" s="27">
        <f>'Source data'!O8/('Source data'!F8*'Source data'!G8)</f>
        <v>0.7347826087</v>
      </c>
      <c r="I8" s="44">
        <f>'Source data'!E8*Assumptions!$D$7-'Source data'!F8</f>
        <v>15.5</v>
      </c>
      <c r="J8" s="9" t="s">
        <v>274</v>
      </c>
    </row>
    <row r="9" ht="60.0" customHeight="1">
      <c r="A9" s="9" t="s">
        <v>75</v>
      </c>
      <c r="B9" s="42">
        <v>4.6</v>
      </c>
      <c r="C9" s="43">
        <v>265.0</v>
      </c>
      <c r="D9" s="9" t="s">
        <v>273</v>
      </c>
      <c r="E9" s="27">
        <f>'Source data'!H9/'Source data'!G9</f>
        <v>0.85</v>
      </c>
      <c r="F9" s="27">
        <f>'Source data'!O9/'Source data'!N9</f>
        <v>0.5853918435</v>
      </c>
      <c r="G9" s="26">
        <f>'Source data'!O9</f>
        <v>1812900</v>
      </c>
      <c r="H9" s="27">
        <f>'Source data'!O9/('Source data'!F9*'Source data'!G9)</f>
        <v>1.411915888</v>
      </c>
      <c r="I9" s="44">
        <f>'Source data'!E9*Assumptions!$D$7-'Source data'!F9</f>
        <v>32.5</v>
      </c>
      <c r="J9" s="9" t="s">
        <v>274</v>
      </c>
    </row>
    <row r="10" ht="60.0" customHeight="1">
      <c r="A10" s="9" t="s">
        <v>77</v>
      </c>
      <c r="B10" s="42">
        <v>4.1</v>
      </c>
      <c r="C10" s="43">
        <v>100.0</v>
      </c>
      <c r="D10" s="9" t="s">
        <v>273</v>
      </c>
      <c r="E10" s="27">
        <f>'Source data'!H10/'Source data'!G10</f>
        <v>0.8</v>
      </c>
      <c r="F10" s="27">
        <f>'Source data'!O10/'Source data'!N10</f>
        <v>0.6382428941</v>
      </c>
      <c r="G10" s="26">
        <f>'Source data'!O10</f>
        <v>1037400</v>
      </c>
      <c r="H10" s="27">
        <f>'Source data'!O10/('Source data'!F10*'Source data'!G10)</f>
        <v>1.764285714</v>
      </c>
      <c r="I10" s="44">
        <f>'Source data'!E10*Assumptions!$D$7-'Source data'!F10</f>
        <v>22.5</v>
      </c>
      <c r="J10" s="9" t="s">
        <v>274</v>
      </c>
    </row>
    <row r="11" ht="60.0" customHeight="1">
      <c r="A11" s="9" t="s">
        <v>78</v>
      </c>
      <c r="B11" s="42">
        <v>4.8</v>
      </c>
      <c r="C11" s="43">
        <v>220.0</v>
      </c>
      <c r="D11" s="9" t="s">
        <v>273</v>
      </c>
      <c r="E11" s="27">
        <f>'Source data'!H11/'Source data'!G11</f>
        <v>0.85</v>
      </c>
      <c r="F11" s="27">
        <f>'Source data'!O11/'Source data'!N11</f>
        <v>0.04226374025</v>
      </c>
      <c r="G11" s="26">
        <f>'Source data'!O11</f>
        <v>46600</v>
      </c>
      <c r="H11" s="27">
        <f>'Source data'!O11/('Source data'!F11*'Source data'!G11)</f>
        <v>0.04412878788</v>
      </c>
      <c r="I11" s="44">
        <f>'Source data'!E11*Assumptions!$D$7-'Source data'!F11</f>
        <v>-57.5</v>
      </c>
      <c r="J11" s="9" t="s">
        <v>274</v>
      </c>
    </row>
    <row r="12" ht="60.0" customHeight="1">
      <c r="A12" s="9" t="s">
        <v>79</v>
      </c>
      <c r="B12" s="42">
        <v>4.7</v>
      </c>
      <c r="C12" s="43">
        <v>205.0</v>
      </c>
      <c r="D12" s="9" t="s">
        <v>273</v>
      </c>
      <c r="E12" s="27">
        <f>'Source data'!H12/'Source data'!G12</f>
        <v>0.8</v>
      </c>
      <c r="F12" s="27">
        <f>'Source data'!O12/'Source data'!N12</f>
        <v>0.3391160677</v>
      </c>
      <c r="G12" s="26">
        <f>'Source data'!O12</f>
        <v>410500</v>
      </c>
      <c r="H12" s="27">
        <f>'Source data'!O12/('Source data'!F12*'Source data'!G12)</f>
        <v>0.513125</v>
      </c>
      <c r="I12" s="44">
        <f>'Source data'!E12*Assumptions!$D$7-'Source data'!F12</f>
        <v>-25.5</v>
      </c>
      <c r="J12" s="9" t="s">
        <v>274</v>
      </c>
    </row>
    <row r="13" ht="60.0" customHeight="1">
      <c r="A13" s="9" t="s">
        <v>81</v>
      </c>
      <c r="B13" s="42">
        <v>4.8</v>
      </c>
      <c r="C13" s="43">
        <v>75.0</v>
      </c>
      <c r="D13" s="9" t="s">
        <v>273</v>
      </c>
      <c r="E13" s="27">
        <f>'Source data'!H13/'Source data'!G13</f>
        <v>0.5</v>
      </c>
      <c r="F13" s="27">
        <f>'Source data'!O13/'Source data'!N13</f>
        <v>0.02521008403</v>
      </c>
      <c r="G13" s="26">
        <f>'Source data'!O13</f>
        <v>13500</v>
      </c>
      <c r="H13" s="27">
        <f>'Source data'!O13/('Source data'!F13*'Source data'!G13)</f>
        <v>0.02586206897</v>
      </c>
      <c r="I13" s="44">
        <f>'Source data'!E13*Assumptions!$D$7-'Source data'!F13</f>
        <v>-27.5</v>
      </c>
      <c r="J13" s="9" t="s">
        <v>274</v>
      </c>
    </row>
    <row r="14" ht="60.0" customHeight="1">
      <c r="A14" s="9" t="s">
        <v>82</v>
      </c>
      <c r="B14" s="42">
        <v>4.6</v>
      </c>
      <c r="C14" s="43">
        <v>60.0</v>
      </c>
      <c r="D14" s="9" t="s">
        <v>273</v>
      </c>
      <c r="E14" s="27">
        <f>'Source data'!H14/'Source data'!G14</f>
        <v>0.85</v>
      </c>
      <c r="F14" s="27">
        <f>'Source data'!O14/'Source data'!N14</f>
        <v>0.3586807146</v>
      </c>
      <c r="G14" s="26">
        <f>'Source data'!O14</f>
        <v>391500</v>
      </c>
      <c r="H14" s="27">
        <f>'Source data'!O14/('Source data'!F14*'Source data'!G14)</f>
        <v>0.5592857143</v>
      </c>
      <c r="I14" s="44">
        <f>'Source data'!E14*Assumptions!$D$7-'Source data'!F14</f>
        <v>-5.5</v>
      </c>
      <c r="J14" s="9" t="s">
        <v>274</v>
      </c>
    </row>
    <row r="15" ht="60.0" customHeight="1">
      <c r="A15" s="9" t="s">
        <v>83</v>
      </c>
      <c r="B15" s="42">
        <v>5.0</v>
      </c>
      <c r="C15" s="43">
        <v>6.0</v>
      </c>
      <c r="D15" s="9" t="s">
        <v>283</v>
      </c>
      <c r="E15" s="27">
        <f>'Source data'!H15/'Source data'!G15</f>
        <v>0.8</v>
      </c>
      <c r="F15" s="27">
        <f>'Source data'!O15/'Source data'!N15</f>
        <v>0.810959879</v>
      </c>
      <c r="G15" s="26">
        <f>'Source data'!O15</f>
        <v>546960</v>
      </c>
      <c r="H15" s="27">
        <f>'Source data'!O15/('Source data'!F15*'Source data'!G15)</f>
        <v>4.289882353</v>
      </c>
      <c r="I15" s="44">
        <f>'Source data'!E15*Assumptions!$D$7-'Source data'!F15</f>
        <v>8.24</v>
      </c>
      <c r="J15" s="9" t="s">
        <v>328</v>
      </c>
    </row>
    <row r="16" ht="60.0" customHeight="1">
      <c r="A16" s="9" t="s">
        <v>85</v>
      </c>
      <c r="B16" s="42">
        <v>4.8</v>
      </c>
      <c r="C16" s="43">
        <v>10.0</v>
      </c>
      <c r="D16" s="9" t="s">
        <v>283</v>
      </c>
      <c r="E16" s="27">
        <f>'Source data'!H16/'Source data'!G16</f>
        <v>0.8</v>
      </c>
      <c r="F16" s="27">
        <f>'Source data'!O16/'Source data'!N16</f>
        <v>0.6122296793</v>
      </c>
      <c r="G16" s="26">
        <f>'Source data'!O16</f>
        <v>574700</v>
      </c>
      <c r="H16" s="27">
        <f>'Source data'!O16/('Source data'!F16*'Source data'!G16)</f>
        <v>1.578846154</v>
      </c>
      <c r="I16" s="44">
        <f>'Source data'!E16*Assumptions!$D$7-'Source data'!F16</f>
        <v>22.5</v>
      </c>
      <c r="J16" s="9" t="s">
        <v>328</v>
      </c>
    </row>
    <row r="17" ht="60.0" customHeight="1">
      <c r="A17" s="9" t="s">
        <v>86</v>
      </c>
      <c r="B17" s="42">
        <v>4.2</v>
      </c>
      <c r="C17" s="43">
        <v>3400.0</v>
      </c>
      <c r="D17" s="9" t="s">
        <v>273</v>
      </c>
      <c r="E17" s="27">
        <f>'Source data'!H17/'Source data'!G17</f>
        <v>0.32</v>
      </c>
      <c r="F17" s="27">
        <f>'Source data'!O17/'Source data'!N17</f>
        <v>0.04982023626</v>
      </c>
      <c r="G17" s="26">
        <f>'Source data'!O17</f>
        <v>48500</v>
      </c>
      <c r="H17" s="27">
        <f>'Source data'!O17/('Source data'!F17*'Source data'!G17)</f>
        <v>0.05243243243</v>
      </c>
      <c r="I17" s="44">
        <f>'Source data'!E17*Assumptions!$D$7-'Source data'!F17</f>
        <v>-7.5</v>
      </c>
      <c r="J17" s="9" t="s">
        <v>274</v>
      </c>
    </row>
    <row r="18" ht="60.0" customHeight="1">
      <c r="A18" s="9" t="s">
        <v>88</v>
      </c>
      <c r="B18" s="42">
        <v>4.4</v>
      </c>
      <c r="C18" s="43">
        <v>480.0</v>
      </c>
      <c r="D18" s="9" t="s">
        <v>273</v>
      </c>
      <c r="E18" s="27">
        <f>'Source data'!H18/'Source data'!G18</f>
        <v>0.85</v>
      </c>
      <c r="F18" s="27">
        <f>'Source data'!O18/'Source data'!N18</f>
        <v>0.6291317046</v>
      </c>
      <c r="G18" s="26">
        <f>'Source data'!O18</f>
        <v>366417</v>
      </c>
      <c r="H18" s="27">
        <f>'Source data'!O18/('Source data'!F18*'Source data'!G18)</f>
        <v>1.696375</v>
      </c>
      <c r="I18" s="44">
        <f>'Source data'!E18*Assumptions!$D$7-'Source data'!F18</f>
        <v>5.49</v>
      </c>
      <c r="J18" s="9" t="s">
        <v>274</v>
      </c>
    </row>
    <row r="19" ht="60.0" customHeight="1">
      <c r="A19" s="9" t="s">
        <v>91</v>
      </c>
      <c r="B19" s="42">
        <v>4.6</v>
      </c>
      <c r="C19" s="43">
        <v>340.0</v>
      </c>
      <c r="D19" s="9" t="s">
        <v>273</v>
      </c>
      <c r="E19" s="27">
        <f>'Source data'!H19/'Source data'!G19</f>
        <v>0.85</v>
      </c>
      <c r="F19" s="27">
        <f>'Source data'!O19/'Source data'!N19</f>
        <v>0.4839060166</v>
      </c>
      <c r="G19" s="26">
        <f>'Source data'!O19</f>
        <v>534450</v>
      </c>
      <c r="H19" s="27">
        <f>'Source data'!O19/('Source data'!F19*'Source data'!G19)</f>
        <v>0.9376315789</v>
      </c>
      <c r="I19" s="44">
        <f>'Source data'!E19*Assumptions!$D$7-'Source data'!F19</f>
        <v>4.5</v>
      </c>
      <c r="J19" s="9" t="s">
        <v>274</v>
      </c>
    </row>
    <row r="20" ht="60.0" customHeight="1">
      <c r="A20" s="9" t="s">
        <v>93</v>
      </c>
      <c r="B20" s="42">
        <v>4.7</v>
      </c>
      <c r="C20" s="43">
        <v>210.0</v>
      </c>
      <c r="D20" s="9" t="s">
        <v>273</v>
      </c>
      <c r="E20" s="27">
        <f>'Source data'!H20/'Source data'!G20</f>
        <v>0.9</v>
      </c>
      <c r="F20" s="27">
        <f>'Source data'!O20/'Source data'!N20</f>
        <v>0.6042738425</v>
      </c>
      <c r="G20" s="26">
        <f>'Source data'!O20</f>
        <v>916200</v>
      </c>
      <c r="H20" s="27">
        <f>'Source data'!O20/('Source data'!F20*'Source data'!G20)</f>
        <v>1.527</v>
      </c>
      <c r="I20" s="44">
        <f>'Source data'!E20*Assumptions!$D$7-'Source data'!F20</f>
        <v>49.5</v>
      </c>
      <c r="J20" s="9" t="s">
        <v>274</v>
      </c>
    </row>
    <row r="21" ht="60.0" customHeight="1">
      <c r="A21" s="9" t="s">
        <v>96</v>
      </c>
      <c r="B21" s="42">
        <v>4.5</v>
      </c>
      <c r="C21" s="43">
        <v>180.0</v>
      </c>
      <c r="D21" s="9" t="s">
        <v>273</v>
      </c>
      <c r="E21" s="27">
        <f>'Source data'!H21/'Source data'!G21</f>
        <v>0.85</v>
      </c>
      <c r="F21" s="27">
        <f>'Source data'!O21/'Source data'!N21</f>
        <v>0.5894628806</v>
      </c>
      <c r="G21" s="26">
        <f>'Source data'!O21</f>
        <v>215375</v>
      </c>
      <c r="H21" s="27">
        <f>'Source data'!O21/('Source data'!F21*'Source data'!G21)</f>
        <v>1.435833333</v>
      </c>
      <c r="I21" s="44">
        <f>'Source data'!E21*Assumptions!$D$7-'Source data'!F21</f>
        <v>9.5</v>
      </c>
      <c r="J21" s="9" t="s">
        <v>274</v>
      </c>
    </row>
    <row r="22" ht="60.0" customHeight="1">
      <c r="A22" s="9" t="s">
        <v>98</v>
      </c>
      <c r="B22" s="42">
        <v>4.0</v>
      </c>
      <c r="C22" s="43">
        <v>55.0</v>
      </c>
      <c r="D22" s="9" t="s">
        <v>273</v>
      </c>
      <c r="E22" s="27">
        <f>'Source data'!H22/'Source data'!G22</f>
        <v>0.45</v>
      </c>
      <c r="F22" s="27">
        <f>'Source data'!O22/'Source data'!N22</f>
        <v>0.1715853785</v>
      </c>
      <c r="G22" s="26">
        <f>'Source data'!O22</f>
        <v>22369.5</v>
      </c>
      <c r="H22" s="27">
        <f>'Source data'!O22/('Source data'!F22*'Source data'!G22)</f>
        <v>0.207125</v>
      </c>
      <c r="I22" s="44">
        <f>'Source data'!E22*Assumptions!$D$7-'Source data'!F22</f>
        <v>-2.01</v>
      </c>
      <c r="J22" s="9" t="s">
        <v>274</v>
      </c>
    </row>
    <row r="23" ht="60.0" customHeight="1">
      <c r="A23" s="9" t="s">
        <v>102</v>
      </c>
      <c r="B23" s="42"/>
      <c r="C23" s="43"/>
      <c r="D23" s="9" t="s">
        <v>371</v>
      </c>
      <c r="E23" s="27"/>
      <c r="F23" s="27"/>
      <c r="G23" s="26"/>
      <c r="H23" s="27"/>
      <c r="I23" s="44">
        <f>'Source data'!E23*Assumptions!$D$7-'Source data'!F23</f>
        <v>-15.5</v>
      </c>
      <c r="J23" s="9" t="s">
        <v>372</v>
      </c>
    </row>
    <row r="24" ht="60.0" customHeight="1">
      <c r="A24" s="9" t="s">
        <v>106</v>
      </c>
      <c r="B24" s="42"/>
      <c r="C24" s="43"/>
      <c r="D24" s="9" t="s">
        <v>371</v>
      </c>
      <c r="E24" s="27"/>
      <c r="F24" s="27"/>
      <c r="G24" s="26"/>
      <c r="H24" s="27"/>
      <c r="I24" s="44">
        <f>'Source data'!E24*Assumptions!$D$7-'Source data'!F24</f>
        <v>-50.5</v>
      </c>
      <c r="J24" s="9" t="s">
        <v>372</v>
      </c>
    </row>
    <row r="25" ht="60.0" customHeight="1">
      <c r="A25" s="9" t="s">
        <v>111</v>
      </c>
      <c r="B25" s="42"/>
      <c r="C25" s="43"/>
      <c r="D25" s="9" t="s">
        <v>371</v>
      </c>
      <c r="E25" s="27"/>
      <c r="F25" s="27"/>
      <c r="G25" s="26"/>
      <c r="H25" s="27"/>
      <c r="I25" s="44">
        <f>'Source data'!E25*Assumptions!$D$7-'Source data'!F25</f>
        <v>-58.5</v>
      </c>
      <c r="J25" s="9" t="s">
        <v>372</v>
      </c>
    </row>
    <row r="26" ht="60.0" customHeight="1">
      <c r="A26" s="9" t="s">
        <v>114</v>
      </c>
      <c r="B26" s="42"/>
      <c r="C26" s="43"/>
      <c r="D26" s="9" t="s">
        <v>371</v>
      </c>
      <c r="E26" s="27"/>
      <c r="F26" s="27"/>
      <c r="G26" s="26"/>
      <c r="H26" s="27"/>
      <c r="I26" s="44">
        <f>'Source data'!E26*Assumptions!$D$7-'Source data'!F26</f>
        <v>-24.5</v>
      </c>
      <c r="J26" s="9" t="s">
        <v>372</v>
      </c>
    </row>
    <row r="27" ht="60.0" customHeight="1">
      <c r="A27" s="9" t="s">
        <v>118</v>
      </c>
      <c r="B27" s="42"/>
      <c r="C27" s="43"/>
      <c r="D27" s="9" t="s">
        <v>371</v>
      </c>
      <c r="E27" s="27"/>
      <c r="F27" s="27"/>
      <c r="G27" s="26"/>
      <c r="H27" s="27"/>
      <c r="I27" s="44">
        <f>'Source data'!E27*Assumptions!$D$7-'Source data'!F27</f>
        <v>-0.5</v>
      </c>
      <c r="J27" s="9" t="s">
        <v>372</v>
      </c>
    </row>
    <row r="28" ht="60.0" customHeight="1">
      <c r="A28" s="9" t="s">
        <v>123</v>
      </c>
      <c r="B28" s="42"/>
      <c r="C28" s="43"/>
      <c r="D28" s="9" t="s">
        <v>371</v>
      </c>
      <c r="E28" s="27"/>
      <c r="F28" s="27"/>
      <c r="G28" s="26"/>
      <c r="H28" s="27"/>
      <c r="I28" s="44">
        <f>'Source data'!E28*Assumptions!$D$7-'Source data'!F28</f>
        <v>1.5</v>
      </c>
      <c r="J28" s="9" t="s">
        <v>372</v>
      </c>
    </row>
    <row r="29" ht="60.0" customHeight="1">
      <c r="A29" s="9" t="s">
        <v>127</v>
      </c>
      <c r="B29" s="42"/>
      <c r="C29" s="43"/>
      <c r="D29" s="9" t="s">
        <v>371</v>
      </c>
      <c r="E29" s="27"/>
      <c r="F29" s="27"/>
      <c r="G29" s="26"/>
      <c r="H29" s="27"/>
      <c r="I29" s="44">
        <f>'Source data'!E29*Assumptions!$D$7-'Source data'!F29</f>
        <v>-7.5</v>
      </c>
      <c r="J29" s="9" t="s">
        <v>372</v>
      </c>
    </row>
    <row r="30" ht="60.0" customHeight="1">
      <c r="A30" s="9" t="s">
        <v>128</v>
      </c>
      <c r="B30" s="42"/>
      <c r="C30" s="43"/>
      <c r="D30" s="9" t="s">
        <v>371</v>
      </c>
      <c r="E30" s="27"/>
      <c r="F30" s="27"/>
      <c r="G30" s="26"/>
      <c r="H30" s="27"/>
      <c r="I30" s="44">
        <f>'Source data'!E30*Assumptions!$D$7-'Source data'!F30</f>
        <v>12.99</v>
      </c>
      <c r="J30" s="9" t="s">
        <v>372</v>
      </c>
    </row>
    <row r="31" ht="60.0" customHeight="1">
      <c r="A31" s="9" t="s">
        <v>130</v>
      </c>
      <c r="B31" s="42"/>
      <c r="C31" s="43"/>
      <c r="D31" s="9" t="s">
        <v>371</v>
      </c>
      <c r="E31" s="27"/>
      <c r="F31" s="27"/>
      <c r="G31" s="26"/>
      <c r="H31" s="27"/>
      <c r="I31" s="44">
        <f>'Source data'!E31*Assumptions!$D$7-'Source data'!F31</f>
        <v>6.49</v>
      </c>
      <c r="J31" s="9" t="s">
        <v>372</v>
      </c>
    </row>
    <row r="32" ht="60.0" customHeight="1">
      <c r="A32" s="9" t="s">
        <v>131</v>
      </c>
      <c r="B32" s="42"/>
      <c r="C32" s="43"/>
      <c r="D32" s="9" t="s">
        <v>371</v>
      </c>
      <c r="E32" s="27"/>
      <c r="F32" s="27"/>
      <c r="G32" s="26"/>
      <c r="H32" s="27"/>
      <c r="I32" s="44">
        <f>'Source data'!E32*Assumptions!$D$7-'Source data'!F32</f>
        <v>5.99</v>
      </c>
      <c r="J32" s="9" t="s">
        <v>372</v>
      </c>
    </row>
    <row r="33" ht="24.0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24.0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ht="24.0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ht="24.0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ht="24.0" customHeight="1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24.0" customHeigh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ht="24.0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37.0"/>
    <col customWidth="1" min="2" max="2" width="17.0"/>
    <col customWidth="1" min="3" max="10" width="22.0"/>
    <col customWidth="1" min="11" max="26" width="8.63"/>
  </cols>
  <sheetData>
    <row r="1" ht="24.0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ht="24.0" customHeight="1">
      <c r="A2" s="24" t="s">
        <v>282</v>
      </c>
      <c r="B2" s="3"/>
      <c r="C2" s="3"/>
      <c r="D2" s="3"/>
      <c r="E2" s="3"/>
      <c r="F2" s="3"/>
      <c r="G2" s="3"/>
      <c r="H2" s="3"/>
      <c r="I2" s="3"/>
      <c r="J2" s="3"/>
    </row>
    <row r="3" ht="24.0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ht="24.0" customHeight="1">
      <c r="A4" s="3" t="s">
        <v>284</v>
      </c>
      <c r="B4" s="3"/>
      <c r="C4" s="3"/>
      <c r="D4" s="3"/>
      <c r="E4" s="3"/>
      <c r="F4" s="3"/>
      <c r="G4" s="3"/>
      <c r="H4" s="3"/>
      <c r="I4" s="3"/>
      <c r="J4" s="3"/>
    </row>
    <row r="5" ht="24.0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ht="37.5" customHeight="1">
      <c r="A6" s="8" t="s">
        <v>26</v>
      </c>
      <c r="B6" s="8" t="s">
        <v>173</v>
      </c>
      <c r="C6" s="8" t="s">
        <v>287</v>
      </c>
      <c r="D6" s="8" t="s">
        <v>175</v>
      </c>
      <c r="E6" s="8" t="s">
        <v>289</v>
      </c>
      <c r="F6" s="8" t="s">
        <v>290</v>
      </c>
      <c r="G6" s="8" t="s">
        <v>291</v>
      </c>
      <c r="H6" s="8" t="s">
        <v>292</v>
      </c>
      <c r="I6" s="8" t="s">
        <v>293</v>
      </c>
      <c r="J6" s="8" t="s">
        <v>294</v>
      </c>
    </row>
    <row r="7" ht="42.0" customHeight="1">
      <c r="A7" s="46" t="str">
        <f>'Source data'!A23</f>
        <v>14 ft Giant Animated Dragon</v>
      </c>
      <c r="B7" s="47">
        <f>'Source data'!G23</f>
        <v>45000</v>
      </c>
      <c r="C7" s="48">
        <f>'Source data'!F23*'Source data'!G23</f>
        <v>10800000</v>
      </c>
      <c r="D7" s="49">
        <f>1-'Source data'!F23/'Source data'!E23</f>
        <v>0.4654788419</v>
      </c>
      <c r="E7" s="50">
        <f>'Source data'!E23*Assumptions!$D$7-'Source data'!F23</f>
        <v>-15.5</v>
      </c>
      <c r="F7" s="48">
        <f>'Profit model'!N39</f>
        <v>7384500</v>
      </c>
      <c r="G7" s="48">
        <f>'Profit model'!N91</f>
        <v>2737350</v>
      </c>
      <c r="H7" s="48">
        <f>'Profit model'!O91</f>
        <v>2376000</v>
      </c>
      <c r="I7" s="49">
        <f>MAX(0,('Source data'!F23/'Source data'!E23-Assumptions!$D$7)/(1-Assumptions!$D$7))</f>
        <v>0.06904231626</v>
      </c>
      <c r="J7" s="52" t="str">
        <f>VLOOKUP(A7,'Product decisions'!$A$7:$C$32,3,FALSE)</f>
        <v>Removed</v>
      </c>
    </row>
    <row r="8" ht="42.0" customHeight="1">
      <c r="A8" s="53" t="str">
        <f>'Source data'!A24</f>
        <v>6 ft Licensed Movie Villain</v>
      </c>
      <c r="B8" s="54">
        <f>'Source data'!G24</f>
        <v>14000</v>
      </c>
      <c r="C8" s="55">
        <f>'Source data'!F24*'Source data'!G24</f>
        <v>3010000</v>
      </c>
      <c r="D8" s="56">
        <f>1-'Source data'!F24/'Source data'!E24</f>
        <v>0.3465045593</v>
      </c>
      <c r="E8" s="57">
        <f>'Source data'!E24*Assumptions!$D$7-'Source data'!F24</f>
        <v>-50.5</v>
      </c>
      <c r="F8" s="55">
        <f>'Profit model'!N41</f>
        <v>1135400</v>
      </c>
      <c r="G8" s="55">
        <f>'Profit model'!N93</f>
        <v>76020</v>
      </c>
      <c r="H8" s="55">
        <f>'Profit model'!O93</f>
        <v>662200</v>
      </c>
      <c r="I8" s="56">
        <f>MAX(0,('Source data'!F24/'Source data'!E24-Assumptions!$D$7)/(1-Assumptions!$D$7))</f>
        <v>0.3069908815</v>
      </c>
      <c r="J8" s="58" t="str">
        <f>VLOOKUP(A8,'Product decisions'!$A$7:$C$32,3,FALSE)</f>
        <v>Removed</v>
      </c>
    </row>
    <row r="9" ht="42.0" customHeight="1">
      <c r="A9" s="53" t="str">
        <f>'Source data'!A25</f>
        <v>9 ft Licensed Franchise Inflatable</v>
      </c>
      <c r="B9" s="54">
        <f>'Source data'!G25</f>
        <v>12000</v>
      </c>
      <c r="C9" s="55">
        <f>'Source data'!F25*'Source data'!G25</f>
        <v>1656000</v>
      </c>
      <c r="D9" s="56">
        <f>1-'Source data'!F25/'Source data'!E25</f>
        <v>0.1320754717</v>
      </c>
      <c r="E9" s="57">
        <f>'Source data'!E25*Assumptions!$D$7-'Source data'!F25</f>
        <v>-58.5</v>
      </c>
      <c r="F9" s="55">
        <f>'Profit model'!N43</f>
        <v>61200</v>
      </c>
      <c r="G9" s="55">
        <f>'Profit model'!N95</f>
        <v>-377640</v>
      </c>
      <c r="H9" s="55">
        <f>'Profit model'!O95</f>
        <v>364320</v>
      </c>
      <c r="I9" s="56">
        <f>MAX(0,('Source data'!F25/'Source data'!E25-Assumptions!$D$7)/(1-Assumptions!$D$7))</f>
        <v>0.7358490566</v>
      </c>
      <c r="J9" s="58" t="str">
        <f>VLOOKUP(A9,'Product decisions'!$A$7:$C$32,3,FALSE)</f>
        <v>Removed</v>
      </c>
    </row>
    <row r="10" ht="42.0" customHeight="1">
      <c r="A10" s="9" t="str">
        <f>'Source data'!A26</f>
        <v>7 ft Licensed Sitcom Character</v>
      </c>
      <c r="B10" s="43">
        <f>'Source data'!G26</f>
        <v>9000</v>
      </c>
      <c r="C10" s="26">
        <f>'Source data'!F26*'Source data'!G26</f>
        <v>1476000</v>
      </c>
      <c r="D10" s="27">
        <f>1-'Source data'!F26/'Source data'!E26</f>
        <v>0.4121863799</v>
      </c>
      <c r="E10" s="44">
        <f>'Source data'!E26*Assumptions!$D$7-'Source data'!F26</f>
        <v>-24.5</v>
      </c>
      <c r="F10" s="26">
        <f>'Profit model'!N45</f>
        <v>783900</v>
      </c>
      <c r="G10" s="26">
        <f>'Profit model'!N97</f>
        <v>206370</v>
      </c>
      <c r="H10" s="26">
        <f>'Profit model'!O97</f>
        <v>324720</v>
      </c>
      <c r="I10" s="27">
        <f>MAX(0,('Source data'!F26/'Source data'!E26-Assumptions!$D$7)/(1-Assumptions!$D$7))</f>
        <v>0.1756272401</v>
      </c>
      <c r="J10" s="3" t="str">
        <f>VLOOKUP(A10,'Product decisions'!$A$7:$C$32,3,FALSE)</f>
        <v>In-Store</v>
      </c>
    </row>
    <row r="11" ht="42.0" customHeight="1">
      <c r="A11" s="9" t="str">
        <f>'Source data'!A27</f>
        <v>8 ft Inflatable Black Cat</v>
      </c>
      <c r="B11" s="43">
        <f>'Source data'!G27</f>
        <v>16000</v>
      </c>
      <c r="C11" s="26">
        <f>'Source data'!F27*'Source data'!G27</f>
        <v>640000</v>
      </c>
      <c r="D11" s="27">
        <f>1-'Source data'!F27/'Source data'!E27</f>
        <v>0.4936708861</v>
      </c>
      <c r="E11" s="44">
        <f>'Source data'!E27*Assumptions!$D$7-'Source data'!F27</f>
        <v>-0.5</v>
      </c>
      <c r="F11" s="26">
        <f>'Profit model'!N47</f>
        <v>497600</v>
      </c>
      <c r="G11" s="26">
        <f>'Profit model'!N99</f>
        <v>206880</v>
      </c>
      <c r="H11" s="26">
        <f>'Profit model'!O99</f>
        <v>140800</v>
      </c>
      <c r="I11" s="27">
        <f>MAX(0,('Source data'!F27/'Source data'!E27-Assumptions!$D$7)/(1-Assumptions!$D$7))</f>
        <v>0.01265822785</v>
      </c>
      <c r="J11" s="3" t="str">
        <f>VLOOKUP(A11,'Product decisions'!$A$7:$C$32,3,FALSE)</f>
        <v>In-Store</v>
      </c>
    </row>
    <row r="12" ht="42.0" customHeight="1">
      <c r="A12" s="9" t="str">
        <f>'Source data'!A28</f>
        <v>12 ft Inflatable Haunted Tree</v>
      </c>
      <c r="B12" s="43">
        <f>'Source data'!G28</f>
        <v>7000</v>
      </c>
      <c r="C12" s="26">
        <f>'Source data'!F28*'Source data'!G28</f>
        <v>616000</v>
      </c>
      <c r="D12" s="27">
        <f>1-'Source data'!F28/'Source data'!E28</f>
        <v>0.5083798883</v>
      </c>
      <c r="E12" s="44">
        <f>'Source data'!E28*Assumptions!$D$7-'Source data'!F28</f>
        <v>1.5</v>
      </c>
      <c r="F12" s="26">
        <f>'Profit model'!N49</f>
        <v>511700</v>
      </c>
      <c r="G12" s="26">
        <f>'Profit model'!N101</f>
        <v>223510</v>
      </c>
      <c r="H12" s="26">
        <f>'Profit model'!O101</f>
        <v>135520</v>
      </c>
      <c r="I12" s="27">
        <f>MAX(0,('Source data'!F28/'Source data'!E28-Assumptions!$D$7)/(1-Assumptions!$D$7))</f>
        <v>0</v>
      </c>
      <c r="J12" s="3" t="str">
        <f>VLOOKUP(A12,'Product decisions'!$A$7:$C$32,3,FALSE)</f>
        <v>Online-Only</v>
      </c>
    </row>
    <row r="13" ht="42.0" customHeight="1">
      <c r="A13" s="9" t="str">
        <f>'Source data'!A29</f>
        <v>Fog Machine w/ Bluetooth Sound</v>
      </c>
      <c r="B13" s="43">
        <f>'Source data'!G29</f>
        <v>20000</v>
      </c>
      <c r="C13" s="26">
        <f>'Source data'!F29*'Source data'!G29</f>
        <v>1040000</v>
      </c>
      <c r="D13" s="27">
        <f>1-'Source data'!F29/'Source data'!E29</f>
        <v>0.4157303371</v>
      </c>
      <c r="E13" s="44">
        <f>'Source data'!E29*Assumptions!$D$7-'Source data'!F29</f>
        <v>-7.5</v>
      </c>
      <c r="F13" s="26">
        <f>'Profit model'!N51</f>
        <v>562000</v>
      </c>
      <c r="G13" s="26">
        <f>'Profit model'!N103</f>
        <v>152600</v>
      </c>
      <c r="H13" s="26">
        <f>'Profit model'!O103</f>
        <v>228800</v>
      </c>
      <c r="I13" s="27">
        <f>MAX(0,('Source data'!F29/'Source data'!E29-Assumptions!$D$7)/(1-Assumptions!$D$7))</f>
        <v>0.1685393258</v>
      </c>
      <c r="J13" s="3" t="str">
        <f>VLOOKUP(A13,'Product decisions'!$A$7:$C$32,3,FALSE)</f>
        <v>Removed</v>
      </c>
    </row>
    <row r="14" ht="42.0" customHeight="1">
      <c r="A14" s="9" t="str">
        <f>'Source data'!A30</f>
        <v>Animated Talking Portrait</v>
      </c>
      <c r="B14" s="43">
        <f>'Source data'!G30</f>
        <v>9000</v>
      </c>
      <c r="C14" s="26">
        <f>'Source data'!F30*'Source data'!G30</f>
        <v>63000</v>
      </c>
      <c r="D14" s="27">
        <f>1-'Source data'!F30/'Source data'!E30</f>
        <v>0.8249124562</v>
      </c>
      <c r="E14" s="44">
        <f>'Source data'!E30*Assumptions!$D$7-'Source data'!F30</f>
        <v>12.99</v>
      </c>
      <c r="F14" s="26">
        <f>'Profit model'!N53</f>
        <v>260838</v>
      </c>
      <c r="G14" s="26">
        <f>'Profit model'!N105</f>
        <v>178079.4</v>
      </c>
      <c r="H14" s="26">
        <f>'Profit model'!O105</f>
        <v>13860</v>
      </c>
      <c r="I14" s="27">
        <f>MAX(0,('Source data'!F30/'Source data'!E30-Assumptions!$D$7)/(1-Assumptions!$D$7))</f>
        <v>0</v>
      </c>
      <c r="J14" s="3" t="str">
        <f>VLOOKUP(A14,'Product decisions'!$A$7:$C$32,3,FALSE)</f>
        <v>In-Store</v>
      </c>
    </row>
    <row r="15" ht="42.0" customHeight="1">
      <c r="A15" s="9" t="str">
        <f>'Source data'!A31</f>
        <v>Solar Pathway Ghosts (4-pc)</v>
      </c>
      <c r="B15" s="43">
        <f>'Source data'!G31</f>
        <v>12000</v>
      </c>
      <c r="C15" s="26">
        <f>'Source data'!F31*'Source data'!G31</f>
        <v>192000</v>
      </c>
      <c r="D15" s="27">
        <f>1-'Source data'!F31/'Source data'!E31</f>
        <v>0.6442863495</v>
      </c>
      <c r="E15" s="44">
        <f>'Source data'!E31*Assumptions!$D$7-'Source data'!F31</f>
        <v>6.49</v>
      </c>
      <c r="F15" s="26">
        <f>'Profit model'!N55</f>
        <v>293784</v>
      </c>
      <c r="G15" s="26">
        <f>'Profit model'!N107</f>
        <v>169639.2</v>
      </c>
      <c r="H15" s="26">
        <f>'Profit model'!O107</f>
        <v>42240</v>
      </c>
      <c r="I15" s="27">
        <f>MAX(0,('Source data'!F31/'Source data'!E31-Assumptions!$D$7)/(1-Assumptions!$D$7))</f>
        <v>0</v>
      </c>
      <c r="J15" s="3" t="str">
        <f>VLOOKUP(A15,'Product decisions'!$A$7:$C$32,3,FALSE)</f>
        <v>In-Store</v>
      </c>
    </row>
    <row r="16" ht="42.0" customHeight="1">
      <c r="A16" s="9" t="str">
        <f>'Source data'!A32</f>
        <v>24 in Light-Up Pumpkin Stack</v>
      </c>
      <c r="B16" s="43">
        <f>'Source data'!G32</f>
        <v>22000</v>
      </c>
      <c r="C16" s="26">
        <f>'Source data'!F32*'Source data'!G32</f>
        <v>198000</v>
      </c>
      <c r="D16" s="27">
        <f>1-'Source data'!F32/'Source data'!E32</f>
        <v>0.6997998666</v>
      </c>
      <c r="E16" s="44">
        <f>'Source data'!E32*Assumptions!$D$7-'Source data'!F32</f>
        <v>5.99</v>
      </c>
      <c r="F16" s="26">
        <f>'Profit model'!N57</f>
        <v>395604</v>
      </c>
      <c r="G16" s="26">
        <f>'Profit model'!N109</f>
        <v>243905.2</v>
      </c>
      <c r="H16" s="26">
        <f>'Profit model'!O109</f>
        <v>43560</v>
      </c>
      <c r="I16" s="27">
        <f>MAX(0,('Source data'!F32/'Source data'!E32-Assumptions!$D$7)/(1-Assumptions!$D$7))</f>
        <v>0</v>
      </c>
      <c r="J16" s="3" t="str">
        <f>VLOOKUP(A16,'Product decisions'!$A$7:$C$32,3,FALSE)</f>
        <v>In-Store</v>
      </c>
    </row>
    <row r="17" ht="24.0" customHeight="1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ht="24.0" customHeight="1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ht="24.0" customHeight="1">
      <c r="A19" s="3" t="s">
        <v>373</v>
      </c>
      <c r="B19" s="3"/>
      <c r="C19" s="3"/>
      <c r="D19" s="3"/>
      <c r="E19" s="3"/>
      <c r="F19" s="3"/>
      <c r="G19" s="3"/>
      <c r="H19" s="3"/>
      <c r="I19" s="3"/>
      <c r="J19" s="3"/>
    </row>
    <row r="20" ht="24.0" customHeight="1">
      <c r="A20" s="3" t="s">
        <v>374</v>
      </c>
      <c r="B20" s="3"/>
      <c r="C20" s="3"/>
      <c r="D20" s="3"/>
      <c r="E20" s="3"/>
      <c r="F20" s="3"/>
      <c r="G20" s="3"/>
      <c r="H20" s="3"/>
      <c r="I20" s="3"/>
      <c r="J20" s="3"/>
    </row>
    <row r="21" ht="24.0" customHeight="1">
      <c r="A21" s="3" t="s">
        <v>375</v>
      </c>
      <c r="B21" s="3"/>
      <c r="C21" s="3"/>
      <c r="D21" s="3"/>
      <c r="E21" s="3"/>
      <c r="F21" s="3"/>
      <c r="G21" s="3"/>
      <c r="H21" s="3"/>
      <c r="I21" s="3"/>
      <c r="J21" s="3"/>
    </row>
    <row r="22" ht="24.0" customHeight="1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ht="24.0" customHeight="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36.0"/>
    <col customWidth="1" min="2" max="3" width="16.0"/>
    <col customWidth="1" min="4" max="24" width="19.0"/>
    <col customWidth="1" min="25" max="26" width="8.63"/>
  </cols>
  <sheetData>
    <row r="1" ht="24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4.0" customHeight="1">
      <c r="A2" s="24" t="s">
        <v>286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4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24.0" customHeight="1">
      <c r="A4" s="3" t="s">
        <v>295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24.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37.5" customHeight="1">
      <c r="A6" s="8" t="s">
        <v>26</v>
      </c>
      <c r="B6" s="8" t="s">
        <v>307</v>
      </c>
      <c r="C6" s="8" t="s">
        <v>22</v>
      </c>
      <c r="D6" s="8" t="s">
        <v>69</v>
      </c>
      <c r="E6" s="8" t="s">
        <v>296</v>
      </c>
      <c r="F6" s="8" t="s">
        <v>297</v>
      </c>
      <c r="G6" s="8" t="s">
        <v>308</v>
      </c>
      <c r="H6" s="8" t="s">
        <v>309</v>
      </c>
      <c r="I6" s="8" t="s">
        <v>310</v>
      </c>
      <c r="J6" s="8" t="s">
        <v>311</v>
      </c>
      <c r="K6" s="8" t="s">
        <v>147</v>
      </c>
      <c r="L6" s="8" t="s">
        <v>312</v>
      </c>
      <c r="M6" s="8" t="s">
        <v>313</v>
      </c>
      <c r="N6" s="8" t="s">
        <v>148</v>
      </c>
      <c r="O6" s="8" t="s">
        <v>150</v>
      </c>
      <c r="P6" s="8" t="s">
        <v>315</v>
      </c>
      <c r="Q6" s="8" t="s">
        <v>316</v>
      </c>
      <c r="R6" s="8" t="s">
        <v>318</v>
      </c>
      <c r="S6" s="8" t="s">
        <v>319</v>
      </c>
      <c r="T6" s="8" t="s">
        <v>320</v>
      </c>
      <c r="U6" s="8" t="s">
        <v>321</v>
      </c>
      <c r="V6" s="8" t="s">
        <v>32</v>
      </c>
      <c r="W6" s="8" t="s">
        <v>322</v>
      </c>
      <c r="X6" s="8" t="s">
        <v>149</v>
      </c>
    </row>
    <row r="7" ht="33.75" customHeight="1">
      <c r="A7" s="9" t="s">
        <v>54</v>
      </c>
      <c r="B7" s="3" t="s">
        <v>56</v>
      </c>
      <c r="C7" s="3" t="s">
        <v>27</v>
      </c>
      <c r="D7" s="43">
        <f>Assumptions!B21</f>
        <v>40000</v>
      </c>
      <c r="E7" s="44">
        <f>'Source data'!E7</f>
        <v>299</v>
      </c>
      <c r="F7" s="44">
        <f>'Source data'!F7</f>
        <v>126</v>
      </c>
      <c r="G7" s="51">
        <f>IF(B7="In-Store",'Source data'!J7+Assumptions!$B$15*'Source data'!K7,'Source data'!K7+Assumptions!$B$15*'Source data'!J7)*'Source data'!H7/'Source data'!G7*Assumptions!B7</f>
        <v>27550</v>
      </c>
      <c r="H7" s="51">
        <f t="shared" ref="H7:H162" si="1">MIN(D7,G7)</f>
        <v>27550</v>
      </c>
      <c r="I7" s="51">
        <f>(D7-H7)*Assumptions!C7</f>
        <v>12450</v>
      </c>
      <c r="J7" s="51">
        <f t="shared" ref="J7:J162" si="2">D7-H7-I7</f>
        <v>0</v>
      </c>
      <c r="K7" s="26">
        <f>E7*(H7+I7*Assumptions!D7)</f>
        <v>10098725</v>
      </c>
      <c r="L7" s="26">
        <f t="shared" ref="L7:L162" si="3">D7*F7</f>
        <v>5040000</v>
      </c>
      <c r="M7" s="26">
        <f t="shared" ref="M7:M162" si="4">K7-(H7+I7)*F7</f>
        <v>5058725</v>
      </c>
      <c r="N7" s="26">
        <f t="shared" ref="N7:N162" si="5">K7-L7</f>
        <v>5058725</v>
      </c>
      <c r="O7" s="26">
        <f t="shared" ref="O7:O162" si="6">J7*F7</f>
        <v>0</v>
      </c>
      <c r="P7" s="26">
        <f t="shared" ref="P7:P162" si="7">IF(B7="In-Store",N7/V7,0)</f>
        <v>1686241.667</v>
      </c>
      <c r="Q7" s="3">
        <f>COUNTIFS('Product decisions'!$A$7:$A$32,A7,'Product decisions'!$C$7:$C$32,B7)</f>
        <v>1</v>
      </c>
      <c r="R7" s="3">
        <f>COUNTIFS('Product decisions'!$A$7:$A$32,A7,'Product decisions'!$H$7:$H$32,B7)</f>
        <v>0</v>
      </c>
      <c r="S7" s="3">
        <f>COUNTIFS('Product decisions'!$A$7:$A$32,A7,'Product decisions'!$I$7:$I$32,B7)</f>
        <v>0</v>
      </c>
      <c r="T7" s="3">
        <f>COUNTIFS('Product decisions'!$A$7:$A$32,A7,'Product decisions'!$J$7:$J$32,B7)</f>
        <v>1</v>
      </c>
      <c r="U7" s="26">
        <f t="shared" ref="U7:U38" si="8">0</f>
        <v>0</v>
      </c>
      <c r="V7" s="3">
        <f>'Source data'!D7</f>
        <v>3</v>
      </c>
      <c r="W7" s="27">
        <f t="shared" ref="W7:W162" si="9">IF(K7=0,0,N7/K7)</f>
        <v>0.5009270972</v>
      </c>
      <c r="X7" s="27">
        <f t="shared" ref="X7:X162" si="10">IF(L7=0,0,N7/L7)</f>
        <v>1.003715278</v>
      </c>
    </row>
    <row r="8" ht="33.75" customHeight="1">
      <c r="A8" s="9" t="s">
        <v>54</v>
      </c>
      <c r="B8" s="3" t="s">
        <v>80</v>
      </c>
      <c r="C8" s="3" t="s">
        <v>27</v>
      </c>
      <c r="D8" s="43">
        <f>Assumptions!B21</f>
        <v>40000</v>
      </c>
      <c r="E8" s="44">
        <f>'Source data'!E7</f>
        <v>299</v>
      </c>
      <c r="F8" s="44">
        <f>'Source data'!F7</f>
        <v>126</v>
      </c>
      <c r="G8" s="51">
        <f>IF(B8="In-Store",'Source data'!J7+Assumptions!$B$15*'Source data'!K7,'Source data'!K7+Assumptions!$B$15*'Source data'!J7)*'Source data'!H7/'Source data'!G7*Assumptions!B7</f>
        <v>29450</v>
      </c>
      <c r="H8" s="51">
        <f t="shared" si="1"/>
        <v>29450</v>
      </c>
      <c r="I8" s="51">
        <f>(D8-H8)*Assumptions!C7</f>
        <v>10550</v>
      </c>
      <c r="J8" s="51">
        <f t="shared" si="2"/>
        <v>0</v>
      </c>
      <c r="K8" s="26">
        <f>E8*(H8+I8*Assumptions!D7)</f>
        <v>10382775</v>
      </c>
      <c r="L8" s="26">
        <f t="shared" si="3"/>
        <v>5040000</v>
      </c>
      <c r="M8" s="26">
        <f t="shared" si="4"/>
        <v>5342775</v>
      </c>
      <c r="N8" s="26">
        <f t="shared" si="5"/>
        <v>5342775</v>
      </c>
      <c r="O8" s="26">
        <f t="shared" si="6"/>
        <v>0</v>
      </c>
      <c r="P8" s="26">
        <f t="shared" si="7"/>
        <v>0</v>
      </c>
      <c r="Q8" s="3">
        <f>COUNTIFS('Product decisions'!$A$7:$A$32,A8,'Product decisions'!$C$7:$C$32,B8)</f>
        <v>0</v>
      </c>
      <c r="R8" s="3">
        <f>COUNTIFS('Product decisions'!$A$7:$A$32,A8,'Product decisions'!$H$7:$H$32,B8)</f>
        <v>1</v>
      </c>
      <c r="S8" s="3">
        <f>COUNTIFS('Product decisions'!$A$7:$A$32,A8,'Product decisions'!$I$7:$I$32,B8)</f>
        <v>1</v>
      </c>
      <c r="T8" s="3">
        <f>COUNTIFS('Product decisions'!$A$7:$A$32,A8,'Product decisions'!$J$7:$J$32,B8)</f>
        <v>0</v>
      </c>
      <c r="U8" s="26">
        <f t="shared" si="8"/>
        <v>0</v>
      </c>
      <c r="V8" s="3">
        <f>'Source data'!D7</f>
        <v>3</v>
      </c>
      <c r="W8" s="27">
        <f t="shared" si="9"/>
        <v>0.5145806396</v>
      </c>
      <c r="X8" s="27">
        <f t="shared" si="10"/>
        <v>1.060074405</v>
      </c>
    </row>
    <row r="9" ht="33.75" customHeight="1">
      <c r="A9" s="9" t="s">
        <v>74</v>
      </c>
      <c r="B9" s="3" t="s">
        <v>56</v>
      </c>
      <c r="C9" s="3" t="s">
        <v>27</v>
      </c>
      <c r="D9" s="43">
        <f>Assumptions!B22</f>
        <v>9000</v>
      </c>
      <c r="E9" s="44">
        <f>'Source data'!E8</f>
        <v>399</v>
      </c>
      <c r="F9" s="44">
        <f>'Source data'!F8</f>
        <v>184</v>
      </c>
      <c r="G9" s="51">
        <f>IF(B9="In-Store",'Source data'!J8+Assumptions!$B$15*'Source data'!K8,'Source data'!K8+Assumptions!$B$15*'Source data'!J8)*'Source data'!H8/'Source data'!G8*Assumptions!B7</f>
        <v>3510</v>
      </c>
      <c r="H9" s="51">
        <f t="shared" si="1"/>
        <v>3510</v>
      </c>
      <c r="I9" s="51">
        <f>(D9-H9)*Assumptions!C7</f>
        <v>5490</v>
      </c>
      <c r="J9" s="51">
        <f t="shared" si="2"/>
        <v>0</v>
      </c>
      <c r="K9" s="26">
        <f>E9*(H9+I9*Assumptions!D7)</f>
        <v>2495745</v>
      </c>
      <c r="L9" s="26">
        <f t="shared" si="3"/>
        <v>1656000</v>
      </c>
      <c r="M9" s="26">
        <f t="shared" si="4"/>
        <v>839745</v>
      </c>
      <c r="N9" s="26">
        <f t="shared" si="5"/>
        <v>839745</v>
      </c>
      <c r="O9" s="26">
        <f t="shared" si="6"/>
        <v>0</v>
      </c>
      <c r="P9" s="26">
        <f t="shared" si="7"/>
        <v>419872.5</v>
      </c>
      <c r="Q9" s="3">
        <f>COUNTIFS('Product decisions'!$A$7:$A$32,A9,'Product decisions'!$C$7:$C$32,B9)</f>
        <v>0</v>
      </c>
      <c r="R9" s="3">
        <f>COUNTIFS('Product decisions'!$A$7:$A$32,A9,'Product decisions'!$H$7:$H$32,B9)</f>
        <v>0</v>
      </c>
      <c r="S9" s="3">
        <f>COUNTIFS('Product decisions'!$A$7:$A$32,A9,'Product decisions'!$I$7:$I$32,B9)</f>
        <v>0</v>
      </c>
      <c r="T9" s="3">
        <f>COUNTIFS('Product decisions'!$A$7:$A$32,A9,'Product decisions'!$J$7:$J$32,B9)</f>
        <v>0</v>
      </c>
      <c r="U9" s="26">
        <f t="shared" si="8"/>
        <v>0</v>
      </c>
      <c r="V9" s="3">
        <f>'Source data'!D8</f>
        <v>2</v>
      </c>
      <c r="W9" s="27">
        <f t="shared" si="9"/>
        <v>0.3364706731</v>
      </c>
      <c r="X9" s="27">
        <f t="shared" si="10"/>
        <v>0.5070923913</v>
      </c>
    </row>
    <row r="10" ht="33.75" customHeight="1">
      <c r="A10" s="9" t="s">
        <v>74</v>
      </c>
      <c r="B10" s="3" t="s">
        <v>80</v>
      </c>
      <c r="C10" s="3" t="s">
        <v>27</v>
      </c>
      <c r="D10" s="43">
        <f>Assumptions!B22</f>
        <v>9000</v>
      </c>
      <c r="E10" s="44">
        <f>'Source data'!E8</f>
        <v>399</v>
      </c>
      <c r="F10" s="44">
        <f>'Source data'!F8</f>
        <v>184</v>
      </c>
      <c r="G10" s="51">
        <f>IF(B10="In-Store",'Source data'!J8+Assumptions!$B$15*'Source data'!K8,'Source data'!K8+Assumptions!$B$15*'Source data'!J8)*'Source data'!H8/'Source data'!G8*Assumptions!B7</f>
        <v>4590</v>
      </c>
      <c r="H10" s="51">
        <f t="shared" si="1"/>
        <v>4590</v>
      </c>
      <c r="I10" s="51">
        <f>(D10-H10)*Assumptions!C7</f>
        <v>4410</v>
      </c>
      <c r="J10" s="51">
        <f t="shared" si="2"/>
        <v>0</v>
      </c>
      <c r="K10" s="26">
        <f>E10*(H10+I10*Assumptions!D7)</f>
        <v>2711205</v>
      </c>
      <c r="L10" s="26">
        <f t="shared" si="3"/>
        <v>1656000</v>
      </c>
      <c r="M10" s="26">
        <f t="shared" si="4"/>
        <v>1055205</v>
      </c>
      <c r="N10" s="26">
        <f t="shared" si="5"/>
        <v>1055205</v>
      </c>
      <c r="O10" s="26">
        <f t="shared" si="6"/>
        <v>0</v>
      </c>
      <c r="P10" s="26">
        <f t="shared" si="7"/>
        <v>0</v>
      </c>
      <c r="Q10" s="3">
        <f>COUNTIFS('Product decisions'!$A$7:$A$32,A10,'Product decisions'!$C$7:$C$32,B10)</f>
        <v>1</v>
      </c>
      <c r="R10" s="3">
        <f>COUNTIFS('Product decisions'!$A$7:$A$32,A10,'Product decisions'!$H$7:$H$32,B10)</f>
        <v>1</v>
      </c>
      <c r="S10" s="3">
        <f>COUNTIFS('Product decisions'!$A$7:$A$32,A10,'Product decisions'!$I$7:$I$32,B10)</f>
        <v>0</v>
      </c>
      <c r="T10" s="3">
        <f>COUNTIFS('Product decisions'!$A$7:$A$32,A10,'Product decisions'!$J$7:$J$32,B10)</f>
        <v>1</v>
      </c>
      <c r="U10" s="26">
        <f t="shared" si="8"/>
        <v>0</v>
      </c>
      <c r="V10" s="3">
        <f>'Source data'!D8</f>
        <v>2</v>
      </c>
      <c r="W10" s="27">
        <f t="shared" si="9"/>
        <v>0.3892014805</v>
      </c>
      <c r="X10" s="27">
        <f t="shared" si="10"/>
        <v>0.637201087</v>
      </c>
    </row>
    <row r="11" ht="33.75" customHeight="1">
      <c r="A11" s="9" t="s">
        <v>75</v>
      </c>
      <c r="B11" s="3" t="s">
        <v>56</v>
      </c>
      <c r="C11" s="3" t="s">
        <v>27</v>
      </c>
      <c r="D11" s="43">
        <f>Assumptions!B23</f>
        <v>12000</v>
      </c>
      <c r="E11" s="44">
        <f>'Source data'!E9</f>
        <v>279</v>
      </c>
      <c r="F11" s="44">
        <f>'Source data'!F9</f>
        <v>107</v>
      </c>
      <c r="G11" s="51">
        <f>IF(B11="In-Store",'Source data'!J9+Assumptions!$B$15*'Source data'!K9,'Source data'!K9+Assumptions!$B$15*'Source data'!J9)*'Source data'!H9/'Source data'!G9*Assumptions!B7</f>
        <v>7650</v>
      </c>
      <c r="H11" s="51">
        <f t="shared" si="1"/>
        <v>7650</v>
      </c>
      <c r="I11" s="51">
        <f>(D11-H11)*Assumptions!C7</f>
        <v>4350</v>
      </c>
      <c r="J11" s="51">
        <f t="shared" si="2"/>
        <v>0</v>
      </c>
      <c r="K11" s="26">
        <f>E11*(H11+I11*Assumptions!D7)</f>
        <v>2741175</v>
      </c>
      <c r="L11" s="26">
        <f t="shared" si="3"/>
        <v>1284000</v>
      </c>
      <c r="M11" s="26">
        <f t="shared" si="4"/>
        <v>1457175</v>
      </c>
      <c r="N11" s="26">
        <f t="shared" si="5"/>
        <v>1457175</v>
      </c>
      <c r="O11" s="26">
        <f t="shared" si="6"/>
        <v>0</v>
      </c>
      <c r="P11" s="26">
        <f t="shared" si="7"/>
        <v>1457175</v>
      </c>
      <c r="Q11" s="3">
        <f>COUNTIFS('Product decisions'!$A$7:$A$32,A11,'Product decisions'!$C$7:$C$32,B11)</f>
        <v>1</v>
      </c>
      <c r="R11" s="3">
        <f>COUNTIFS('Product decisions'!$A$7:$A$32,A11,'Product decisions'!$H$7:$H$32,B11)</f>
        <v>1</v>
      </c>
      <c r="S11" s="3">
        <f>COUNTIFS('Product decisions'!$A$7:$A$32,A11,'Product decisions'!$I$7:$I$32,B11)</f>
        <v>1</v>
      </c>
      <c r="T11" s="3">
        <f>COUNTIFS('Product decisions'!$A$7:$A$32,A11,'Product decisions'!$J$7:$J$32,B11)</f>
        <v>1</v>
      </c>
      <c r="U11" s="26">
        <f t="shared" si="8"/>
        <v>0</v>
      </c>
      <c r="V11" s="3">
        <f>'Source data'!D9</f>
        <v>1</v>
      </c>
      <c r="W11" s="27">
        <f t="shared" si="9"/>
        <v>0.5315877315</v>
      </c>
      <c r="X11" s="27">
        <f t="shared" si="10"/>
        <v>1.134871495</v>
      </c>
    </row>
    <row r="12" ht="33.75" customHeight="1">
      <c r="A12" s="9" t="s">
        <v>75</v>
      </c>
      <c r="B12" s="3" t="s">
        <v>80</v>
      </c>
      <c r="C12" s="3" t="s">
        <v>27</v>
      </c>
      <c r="D12" s="43">
        <f>Assumptions!B23</f>
        <v>12000</v>
      </c>
      <c r="E12" s="44">
        <f>'Source data'!E9</f>
        <v>279</v>
      </c>
      <c r="F12" s="44">
        <f>'Source data'!F9</f>
        <v>107</v>
      </c>
      <c r="G12" s="51">
        <f>IF(B12="In-Store",'Source data'!J9+Assumptions!$B$15*'Source data'!K9,'Source data'!K9+Assumptions!$B$15*'Source data'!J9)*'Source data'!H9/'Source data'!G9*Assumptions!B7</f>
        <v>7650</v>
      </c>
      <c r="H12" s="51">
        <f t="shared" si="1"/>
        <v>7650</v>
      </c>
      <c r="I12" s="51">
        <f>(D12-H12)*Assumptions!C7</f>
        <v>4350</v>
      </c>
      <c r="J12" s="51">
        <f t="shared" si="2"/>
        <v>0</v>
      </c>
      <c r="K12" s="26">
        <f>E12*(H12+I12*Assumptions!D7)</f>
        <v>2741175</v>
      </c>
      <c r="L12" s="26">
        <f t="shared" si="3"/>
        <v>1284000</v>
      </c>
      <c r="M12" s="26">
        <f t="shared" si="4"/>
        <v>1457175</v>
      </c>
      <c r="N12" s="26">
        <f t="shared" si="5"/>
        <v>1457175</v>
      </c>
      <c r="O12" s="26">
        <f t="shared" si="6"/>
        <v>0</v>
      </c>
      <c r="P12" s="26">
        <f t="shared" si="7"/>
        <v>0</v>
      </c>
      <c r="Q12" s="3">
        <f>COUNTIFS('Product decisions'!$A$7:$A$32,A12,'Product decisions'!$C$7:$C$32,B12)</f>
        <v>0</v>
      </c>
      <c r="R12" s="3">
        <f>COUNTIFS('Product decisions'!$A$7:$A$32,A12,'Product decisions'!$H$7:$H$32,B12)</f>
        <v>0</v>
      </c>
      <c r="S12" s="3">
        <f>COUNTIFS('Product decisions'!$A$7:$A$32,A12,'Product decisions'!$I$7:$I$32,B12)</f>
        <v>0</v>
      </c>
      <c r="T12" s="3">
        <f>COUNTIFS('Product decisions'!$A$7:$A$32,A12,'Product decisions'!$J$7:$J$32,B12)</f>
        <v>0</v>
      </c>
      <c r="U12" s="26">
        <f t="shared" si="8"/>
        <v>0</v>
      </c>
      <c r="V12" s="3">
        <f>'Source data'!D9</f>
        <v>1</v>
      </c>
      <c r="W12" s="27">
        <f t="shared" si="9"/>
        <v>0.5315877315</v>
      </c>
      <c r="X12" s="27">
        <f t="shared" si="10"/>
        <v>1.134871495</v>
      </c>
    </row>
    <row r="13" ht="33.75" customHeight="1">
      <c r="A13" s="9" t="s">
        <v>77</v>
      </c>
      <c r="B13" s="3" t="s">
        <v>56</v>
      </c>
      <c r="C13" s="3" t="s">
        <v>27</v>
      </c>
      <c r="D13" s="43">
        <f>Assumptions!B24</f>
        <v>14000</v>
      </c>
      <c r="E13" s="44">
        <f>'Source data'!E10</f>
        <v>129</v>
      </c>
      <c r="F13" s="44">
        <f>'Source data'!F10</f>
        <v>42</v>
      </c>
      <c r="G13" s="51">
        <f>IF(B13="In-Store",'Source data'!J10+Assumptions!$B$15*'Source data'!K10,'Source data'!K10+Assumptions!$B$15*'Source data'!J10)*'Source data'!H10/'Source data'!G10*Assumptions!B7</f>
        <v>8680</v>
      </c>
      <c r="H13" s="51">
        <f t="shared" si="1"/>
        <v>8680</v>
      </c>
      <c r="I13" s="51">
        <f>(D13-H13)*Assumptions!C7</f>
        <v>5320</v>
      </c>
      <c r="J13" s="51">
        <f t="shared" si="2"/>
        <v>0</v>
      </c>
      <c r="K13" s="26">
        <f>E13*(H13+I13*Assumptions!D7)</f>
        <v>1462860</v>
      </c>
      <c r="L13" s="26">
        <f t="shared" si="3"/>
        <v>588000</v>
      </c>
      <c r="M13" s="26">
        <f t="shared" si="4"/>
        <v>874860</v>
      </c>
      <c r="N13" s="26">
        <f t="shared" si="5"/>
        <v>874860</v>
      </c>
      <c r="O13" s="26">
        <f t="shared" si="6"/>
        <v>0</v>
      </c>
      <c r="P13" s="26">
        <f t="shared" si="7"/>
        <v>874860</v>
      </c>
      <c r="Q13" s="3">
        <f>COUNTIFS('Product decisions'!$A$7:$A$32,A13,'Product decisions'!$C$7:$C$32,B13)</f>
        <v>1</v>
      </c>
      <c r="R13" s="3">
        <f>COUNTIFS('Product decisions'!$A$7:$A$32,A13,'Product decisions'!$H$7:$H$32,B13)</f>
        <v>1</v>
      </c>
      <c r="S13" s="3">
        <f>COUNTIFS('Product decisions'!$A$7:$A$32,A13,'Product decisions'!$I$7:$I$32,B13)</f>
        <v>1</v>
      </c>
      <c r="T13" s="3">
        <f>COUNTIFS('Product decisions'!$A$7:$A$32,A13,'Product decisions'!$J$7:$J$32,B13)</f>
        <v>1</v>
      </c>
      <c r="U13" s="26">
        <f t="shared" si="8"/>
        <v>0</v>
      </c>
      <c r="V13" s="3">
        <f>'Source data'!D10</f>
        <v>1</v>
      </c>
      <c r="W13" s="27">
        <f t="shared" si="9"/>
        <v>0.5980476601</v>
      </c>
      <c r="X13" s="27">
        <f t="shared" si="10"/>
        <v>1.487857143</v>
      </c>
    </row>
    <row r="14" ht="33.75" customHeight="1">
      <c r="A14" s="9" t="s">
        <v>77</v>
      </c>
      <c r="B14" s="3" t="s">
        <v>80</v>
      </c>
      <c r="C14" s="3" t="s">
        <v>27</v>
      </c>
      <c r="D14" s="43">
        <f>Assumptions!B24</f>
        <v>14000</v>
      </c>
      <c r="E14" s="44">
        <f>'Source data'!E10</f>
        <v>129</v>
      </c>
      <c r="F14" s="44">
        <f>'Source data'!F10</f>
        <v>42</v>
      </c>
      <c r="G14" s="51">
        <f>IF(B14="In-Store",'Source data'!J10+Assumptions!$B$15*'Source data'!K10,'Source data'!K10+Assumptions!$B$15*'Source data'!J10)*'Source data'!H10/'Source data'!G10*Assumptions!B7</f>
        <v>8120</v>
      </c>
      <c r="H14" s="51">
        <f t="shared" si="1"/>
        <v>8120</v>
      </c>
      <c r="I14" s="51">
        <f>(D14-H14)*Assumptions!C7</f>
        <v>5880</v>
      </c>
      <c r="J14" s="51">
        <f t="shared" si="2"/>
        <v>0</v>
      </c>
      <c r="K14" s="26">
        <f>E14*(H14+I14*Assumptions!D7)</f>
        <v>1426740</v>
      </c>
      <c r="L14" s="26">
        <f t="shared" si="3"/>
        <v>588000</v>
      </c>
      <c r="M14" s="26">
        <f t="shared" si="4"/>
        <v>838740</v>
      </c>
      <c r="N14" s="26">
        <f t="shared" si="5"/>
        <v>838740</v>
      </c>
      <c r="O14" s="26">
        <f t="shared" si="6"/>
        <v>0</v>
      </c>
      <c r="P14" s="26">
        <f t="shared" si="7"/>
        <v>0</v>
      </c>
      <c r="Q14" s="3">
        <f>COUNTIFS('Product decisions'!$A$7:$A$32,A14,'Product decisions'!$C$7:$C$32,B14)</f>
        <v>0</v>
      </c>
      <c r="R14" s="3">
        <f>COUNTIFS('Product decisions'!$A$7:$A$32,A14,'Product decisions'!$H$7:$H$32,B14)</f>
        <v>0</v>
      </c>
      <c r="S14" s="3">
        <f>COUNTIFS('Product decisions'!$A$7:$A$32,A14,'Product decisions'!$I$7:$I$32,B14)</f>
        <v>0</v>
      </c>
      <c r="T14" s="3">
        <f>COUNTIFS('Product decisions'!$A$7:$A$32,A14,'Product decisions'!$J$7:$J$32,B14)</f>
        <v>0</v>
      </c>
      <c r="U14" s="26">
        <f t="shared" si="8"/>
        <v>0</v>
      </c>
      <c r="V14" s="3">
        <f>'Source data'!D10</f>
        <v>1</v>
      </c>
      <c r="W14" s="27">
        <f t="shared" si="9"/>
        <v>0.5878716515</v>
      </c>
      <c r="X14" s="27">
        <f t="shared" si="10"/>
        <v>1.426428571</v>
      </c>
    </row>
    <row r="15" ht="33.75" customHeight="1">
      <c r="A15" s="9" t="s">
        <v>78</v>
      </c>
      <c r="B15" s="3" t="s">
        <v>56</v>
      </c>
      <c r="C15" s="3" t="s">
        <v>27</v>
      </c>
      <c r="D15" s="43">
        <f>Assumptions!B25</f>
        <v>8000</v>
      </c>
      <c r="E15" s="44">
        <f>'Source data'!E11</f>
        <v>149</v>
      </c>
      <c r="F15" s="44">
        <f>'Source data'!F11</f>
        <v>132</v>
      </c>
      <c r="G15" s="51">
        <f>IF(B15="In-Store",'Source data'!J11+Assumptions!$B$15*'Source data'!K11,'Source data'!K11+Assumptions!$B$15*'Source data'!J11)*'Source data'!H11/'Source data'!G11*Assumptions!B7</f>
        <v>4760</v>
      </c>
      <c r="H15" s="51">
        <f t="shared" si="1"/>
        <v>4760</v>
      </c>
      <c r="I15" s="51">
        <f>(D15-H15)*Assumptions!C7</f>
        <v>3240</v>
      </c>
      <c r="J15" s="51">
        <f t="shared" si="2"/>
        <v>0</v>
      </c>
      <c r="K15" s="26">
        <f>E15*(H15+I15*Assumptions!D7)</f>
        <v>950620</v>
      </c>
      <c r="L15" s="26">
        <f t="shared" si="3"/>
        <v>1056000</v>
      </c>
      <c r="M15" s="26">
        <f t="shared" si="4"/>
        <v>-105380</v>
      </c>
      <c r="N15" s="26">
        <f t="shared" si="5"/>
        <v>-105380</v>
      </c>
      <c r="O15" s="26">
        <f t="shared" si="6"/>
        <v>0</v>
      </c>
      <c r="P15" s="26">
        <f t="shared" si="7"/>
        <v>-52690</v>
      </c>
      <c r="Q15" s="3">
        <f>COUNTIFS('Product decisions'!$A$7:$A$32,A15,'Product decisions'!$C$7:$C$32,B15)</f>
        <v>0</v>
      </c>
      <c r="R15" s="3">
        <f>COUNTIFS('Product decisions'!$A$7:$A$32,A15,'Product decisions'!$H$7:$H$32,B15)</f>
        <v>0</v>
      </c>
      <c r="S15" s="3">
        <f>COUNTIFS('Product decisions'!$A$7:$A$32,A15,'Product decisions'!$I$7:$I$32,B15)</f>
        <v>0</v>
      </c>
      <c r="T15" s="3">
        <f>COUNTIFS('Product decisions'!$A$7:$A$32,A15,'Product decisions'!$J$7:$J$32,B15)</f>
        <v>0</v>
      </c>
      <c r="U15" s="26">
        <f t="shared" si="8"/>
        <v>0</v>
      </c>
      <c r="V15" s="3">
        <f>'Source data'!D11</f>
        <v>2</v>
      </c>
      <c r="W15" s="27">
        <f t="shared" si="9"/>
        <v>-0.110853969</v>
      </c>
      <c r="X15" s="27">
        <f t="shared" si="10"/>
        <v>-0.09979166667</v>
      </c>
    </row>
    <row r="16" ht="33.75" customHeight="1">
      <c r="A16" s="9" t="s">
        <v>78</v>
      </c>
      <c r="B16" s="3" t="s">
        <v>80</v>
      </c>
      <c r="C16" s="3" t="s">
        <v>27</v>
      </c>
      <c r="D16" s="43">
        <f>Assumptions!B25</f>
        <v>8000</v>
      </c>
      <c r="E16" s="44">
        <f>'Source data'!E11</f>
        <v>149</v>
      </c>
      <c r="F16" s="44">
        <f>'Source data'!F11</f>
        <v>132</v>
      </c>
      <c r="G16" s="51">
        <f>IF(B16="In-Store",'Source data'!J11+Assumptions!$B$15*'Source data'!K11,'Source data'!K11+Assumptions!$B$15*'Source data'!J11)*'Source data'!H11/'Source data'!G11*Assumptions!B7</f>
        <v>5440</v>
      </c>
      <c r="H16" s="51">
        <f t="shared" si="1"/>
        <v>5440</v>
      </c>
      <c r="I16" s="51">
        <f>(D16-H16)*Assumptions!C7</f>
        <v>2560</v>
      </c>
      <c r="J16" s="51">
        <f t="shared" si="2"/>
        <v>0</v>
      </c>
      <c r="K16" s="26">
        <f>E16*(H16+I16*Assumptions!D7)</f>
        <v>1001280</v>
      </c>
      <c r="L16" s="26">
        <f t="shared" si="3"/>
        <v>1056000</v>
      </c>
      <c r="M16" s="26">
        <f t="shared" si="4"/>
        <v>-54720</v>
      </c>
      <c r="N16" s="26">
        <f t="shared" si="5"/>
        <v>-54720</v>
      </c>
      <c r="O16" s="26">
        <f t="shared" si="6"/>
        <v>0</v>
      </c>
      <c r="P16" s="26">
        <f t="shared" si="7"/>
        <v>0</v>
      </c>
      <c r="Q16" s="3">
        <f>COUNTIFS('Product decisions'!$A$7:$A$32,A16,'Product decisions'!$C$7:$C$32,B16)</f>
        <v>0</v>
      </c>
      <c r="R16" s="3">
        <f>COUNTIFS('Product decisions'!$A$7:$A$32,A16,'Product decisions'!$H$7:$H$32,B16)</f>
        <v>0</v>
      </c>
      <c r="S16" s="3">
        <f>COUNTIFS('Product decisions'!$A$7:$A$32,A16,'Product decisions'!$I$7:$I$32,B16)</f>
        <v>0</v>
      </c>
      <c r="T16" s="3">
        <f>COUNTIFS('Product decisions'!$A$7:$A$32,A16,'Product decisions'!$J$7:$J$32,B16)</f>
        <v>0</v>
      </c>
      <c r="U16" s="26">
        <f t="shared" si="8"/>
        <v>0</v>
      </c>
      <c r="V16" s="3">
        <f>'Source data'!D11</f>
        <v>2</v>
      </c>
      <c r="W16" s="27">
        <f t="shared" si="9"/>
        <v>-0.05465004794</v>
      </c>
      <c r="X16" s="27">
        <f t="shared" si="10"/>
        <v>-0.05181818182</v>
      </c>
    </row>
    <row r="17" ht="33.75" customHeight="1">
      <c r="A17" s="9" t="s">
        <v>79</v>
      </c>
      <c r="B17" s="3" t="s">
        <v>56</v>
      </c>
      <c r="C17" s="3" t="s">
        <v>27</v>
      </c>
      <c r="D17" s="43">
        <f>Assumptions!B26</f>
        <v>5000</v>
      </c>
      <c r="E17" s="44">
        <f>'Source data'!E12</f>
        <v>269</v>
      </c>
      <c r="F17" s="44">
        <f>'Source data'!F12</f>
        <v>160</v>
      </c>
      <c r="G17" s="51">
        <f>IF(B17="In-Store",'Source data'!J12+Assumptions!$B$15*'Source data'!K12,'Source data'!K12+Assumptions!$B$15*'Source data'!J12)*'Source data'!H12/'Source data'!G12*Assumptions!B7</f>
        <v>2700</v>
      </c>
      <c r="H17" s="51">
        <f t="shared" si="1"/>
        <v>2700</v>
      </c>
      <c r="I17" s="51">
        <f>(D17-H17)*Assumptions!C7</f>
        <v>2300</v>
      </c>
      <c r="J17" s="51">
        <f t="shared" si="2"/>
        <v>0</v>
      </c>
      <c r="K17" s="26">
        <f>E17*(H17+I17*Assumptions!D7)</f>
        <v>1035650</v>
      </c>
      <c r="L17" s="26">
        <f t="shared" si="3"/>
        <v>800000</v>
      </c>
      <c r="M17" s="26">
        <f t="shared" si="4"/>
        <v>235650</v>
      </c>
      <c r="N17" s="26">
        <f t="shared" si="5"/>
        <v>235650</v>
      </c>
      <c r="O17" s="26">
        <f t="shared" si="6"/>
        <v>0</v>
      </c>
      <c r="P17" s="26">
        <f t="shared" si="7"/>
        <v>235650</v>
      </c>
      <c r="Q17" s="3">
        <f>COUNTIFS('Product decisions'!$A$7:$A$32,A17,'Product decisions'!$C$7:$C$32,B17)</f>
        <v>1</v>
      </c>
      <c r="R17" s="3">
        <f>COUNTIFS('Product decisions'!$A$7:$A$32,A17,'Product decisions'!$H$7:$H$32,B17)</f>
        <v>0</v>
      </c>
      <c r="S17" s="3">
        <f>COUNTIFS('Product decisions'!$A$7:$A$32,A17,'Product decisions'!$I$7:$I$32,B17)</f>
        <v>0</v>
      </c>
      <c r="T17" s="3">
        <f>COUNTIFS('Product decisions'!$A$7:$A$32,A17,'Product decisions'!$J$7:$J$32,B17)</f>
        <v>1</v>
      </c>
      <c r="U17" s="26">
        <f t="shared" si="8"/>
        <v>0</v>
      </c>
      <c r="V17" s="3">
        <f>'Source data'!D12</f>
        <v>1</v>
      </c>
      <c r="W17" s="27">
        <f t="shared" si="9"/>
        <v>0.227538261</v>
      </c>
      <c r="X17" s="27">
        <f t="shared" si="10"/>
        <v>0.2945625</v>
      </c>
    </row>
    <row r="18" ht="33.75" customHeight="1">
      <c r="A18" s="9" t="s">
        <v>79</v>
      </c>
      <c r="B18" s="3" t="s">
        <v>80</v>
      </c>
      <c r="C18" s="3" t="s">
        <v>27</v>
      </c>
      <c r="D18" s="43">
        <f>Assumptions!B26</f>
        <v>5000</v>
      </c>
      <c r="E18" s="44">
        <f>'Source data'!E12</f>
        <v>269</v>
      </c>
      <c r="F18" s="44">
        <f>'Source data'!F12</f>
        <v>160</v>
      </c>
      <c r="G18" s="51">
        <f>IF(B18="In-Store",'Source data'!J12+Assumptions!$B$15*'Source data'!K12,'Source data'!K12+Assumptions!$B$15*'Source data'!J12)*'Source data'!H12/'Source data'!G12*Assumptions!B7</f>
        <v>3300</v>
      </c>
      <c r="H18" s="51">
        <f t="shared" si="1"/>
        <v>3300</v>
      </c>
      <c r="I18" s="51">
        <f>(D18-H18)*Assumptions!C7</f>
        <v>1700</v>
      </c>
      <c r="J18" s="51">
        <f t="shared" si="2"/>
        <v>0</v>
      </c>
      <c r="K18" s="26">
        <f>E18*(H18+I18*Assumptions!D7)</f>
        <v>1116350</v>
      </c>
      <c r="L18" s="26">
        <f t="shared" si="3"/>
        <v>800000</v>
      </c>
      <c r="M18" s="26">
        <f t="shared" si="4"/>
        <v>316350</v>
      </c>
      <c r="N18" s="26">
        <f t="shared" si="5"/>
        <v>316350</v>
      </c>
      <c r="O18" s="26">
        <f t="shared" si="6"/>
        <v>0</v>
      </c>
      <c r="P18" s="26">
        <f t="shared" si="7"/>
        <v>0</v>
      </c>
      <c r="Q18" s="3">
        <f>COUNTIFS('Product decisions'!$A$7:$A$32,A18,'Product decisions'!$C$7:$C$32,B18)</f>
        <v>0</v>
      </c>
      <c r="R18" s="3">
        <f>COUNTIFS('Product decisions'!$A$7:$A$32,A18,'Product decisions'!$H$7:$H$32,B18)</f>
        <v>0</v>
      </c>
      <c r="S18" s="3">
        <f>COUNTIFS('Product decisions'!$A$7:$A$32,A18,'Product decisions'!$I$7:$I$32,B18)</f>
        <v>0</v>
      </c>
      <c r="T18" s="3">
        <f>COUNTIFS('Product decisions'!$A$7:$A$32,A18,'Product decisions'!$J$7:$J$32,B18)</f>
        <v>0</v>
      </c>
      <c r="U18" s="26">
        <f t="shared" si="8"/>
        <v>0</v>
      </c>
      <c r="V18" s="3">
        <f>'Source data'!D12</f>
        <v>1</v>
      </c>
      <c r="W18" s="27">
        <f t="shared" si="9"/>
        <v>0.2833788686</v>
      </c>
      <c r="X18" s="27">
        <f t="shared" si="10"/>
        <v>0.3954375</v>
      </c>
    </row>
    <row r="19" ht="33.75" customHeight="1">
      <c r="A19" s="9" t="s">
        <v>81</v>
      </c>
      <c r="B19" s="3" t="s">
        <v>56</v>
      </c>
      <c r="C19" s="3" t="s">
        <v>27</v>
      </c>
      <c r="D19" s="43">
        <f>Assumptions!B27</f>
        <v>6000</v>
      </c>
      <c r="E19" s="44">
        <f>'Source data'!E13</f>
        <v>119</v>
      </c>
      <c r="F19" s="44">
        <f>'Source data'!F13</f>
        <v>87</v>
      </c>
      <c r="G19" s="51">
        <f>IF(B19="In-Store",'Source data'!J13+Assumptions!$B$15*'Source data'!K13,'Source data'!K13+Assumptions!$B$15*'Source data'!J13)*'Source data'!H13/'Source data'!G13*Assumptions!B7</f>
        <v>2175</v>
      </c>
      <c r="H19" s="51">
        <f t="shared" si="1"/>
        <v>2175</v>
      </c>
      <c r="I19" s="51">
        <f>(D19-H19)*Assumptions!C7</f>
        <v>3825</v>
      </c>
      <c r="J19" s="51">
        <f t="shared" si="2"/>
        <v>0</v>
      </c>
      <c r="K19" s="26">
        <f>E19*(H19+I19*Assumptions!D7)</f>
        <v>486412.5</v>
      </c>
      <c r="L19" s="26">
        <f t="shared" si="3"/>
        <v>522000</v>
      </c>
      <c r="M19" s="26">
        <f t="shared" si="4"/>
        <v>-35587.5</v>
      </c>
      <c r="N19" s="26">
        <f t="shared" si="5"/>
        <v>-35587.5</v>
      </c>
      <c r="O19" s="26">
        <f t="shared" si="6"/>
        <v>0</v>
      </c>
      <c r="P19" s="26">
        <f t="shared" si="7"/>
        <v>-35587.5</v>
      </c>
      <c r="Q19" s="3">
        <f>COUNTIFS('Product decisions'!$A$7:$A$32,A19,'Product decisions'!$C$7:$C$32,B19)</f>
        <v>0</v>
      </c>
      <c r="R19" s="3">
        <f>COUNTIFS('Product decisions'!$A$7:$A$32,A19,'Product decisions'!$H$7:$H$32,B19)</f>
        <v>0</v>
      </c>
      <c r="S19" s="3">
        <f>COUNTIFS('Product decisions'!$A$7:$A$32,A19,'Product decisions'!$I$7:$I$32,B19)</f>
        <v>0</v>
      </c>
      <c r="T19" s="3">
        <f>COUNTIFS('Product decisions'!$A$7:$A$32,A19,'Product decisions'!$J$7:$J$32,B19)</f>
        <v>0</v>
      </c>
      <c r="U19" s="26">
        <f t="shared" si="8"/>
        <v>0</v>
      </c>
      <c r="V19" s="3">
        <f>'Source data'!D13</f>
        <v>1</v>
      </c>
      <c r="W19" s="27">
        <f t="shared" si="9"/>
        <v>-0.07316321024</v>
      </c>
      <c r="X19" s="27">
        <f t="shared" si="10"/>
        <v>-0.06817528736</v>
      </c>
    </row>
    <row r="20" ht="33.75" customHeight="1">
      <c r="A20" s="9" t="s">
        <v>81</v>
      </c>
      <c r="B20" s="3" t="s">
        <v>80</v>
      </c>
      <c r="C20" s="3" t="s">
        <v>27</v>
      </c>
      <c r="D20" s="43">
        <f>Assumptions!B27</f>
        <v>6000</v>
      </c>
      <c r="E20" s="44">
        <f>'Source data'!E13</f>
        <v>119</v>
      </c>
      <c r="F20" s="44">
        <f>'Source data'!F13</f>
        <v>87</v>
      </c>
      <c r="G20" s="51">
        <f>IF(B20="In-Store",'Source data'!J13+Assumptions!$B$15*'Source data'!K13,'Source data'!K13+Assumptions!$B$15*'Source data'!J13)*'Source data'!H13/'Source data'!G13*Assumptions!B7</f>
        <v>2325</v>
      </c>
      <c r="H20" s="51">
        <f t="shared" si="1"/>
        <v>2325</v>
      </c>
      <c r="I20" s="51">
        <f>(D20-H20)*Assumptions!C7</f>
        <v>3675</v>
      </c>
      <c r="J20" s="51">
        <f t="shared" si="2"/>
        <v>0</v>
      </c>
      <c r="K20" s="26">
        <f>E20*(H20+I20*Assumptions!D7)</f>
        <v>495337.5</v>
      </c>
      <c r="L20" s="26">
        <f t="shared" si="3"/>
        <v>522000</v>
      </c>
      <c r="M20" s="26">
        <f t="shared" si="4"/>
        <v>-26662.5</v>
      </c>
      <c r="N20" s="26">
        <f t="shared" si="5"/>
        <v>-26662.5</v>
      </c>
      <c r="O20" s="26">
        <f t="shared" si="6"/>
        <v>0</v>
      </c>
      <c r="P20" s="26">
        <f t="shared" si="7"/>
        <v>0</v>
      </c>
      <c r="Q20" s="3">
        <f>COUNTIFS('Product decisions'!$A$7:$A$32,A20,'Product decisions'!$C$7:$C$32,B20)</f>
        <v>0</v>
      </c>
      <c r="R20" s="3">
        <f>COUNTIFS('Product decisions'!$A$7:$A$32,A20,'Product decisions'!$H$7:$H$32,B20)</f>
        <v>0</v>
      </c>
      <c r="S20" s="3">
        <f>COUNTIFS('Product decisions'!$A$7:$A$32,A20,'Product decisions'!$I$7:$I$32,B20)</f>
        <v>0</v>
      </c>
      <c r="T20" s="3">
        <f>COUNTIFS('Product decisions'!$A$7:$A$32,A20,'Product decisions'!$J$7:$J$32,B20)</f>
        <v>0</v>
      </c>
      <c r="U20" s="26">
        <f t="shared" si="8"/>
        <v>0</v>
      </c>
      <c r="V20" s="3">
        <f>'Source data'!D13</f>
        <v>1</v>
      </c>
      <c r="W20" s="27">
        <f t="shared" si="9"/>
        <v>-0.05382693618</v>
      </c>
      <c r="X20" s="27">
        <f t="shared" si="10"/>
        <v>-0.05107758621</v>
      </c>
    </row>
    <row r="21" ht="33.75" customHeight="1">
      <c r="A21" s="9" t="s">
        <v>82</v>
      </c>
      <c r="B21" s="3" t="s">
        <v>56</v>
      </c>
      <c r="C21" s="3" t="s">
        <v>27</v>
      </c>
      <c r="D21" s="43">
        <f>Assumptions!B28</f>
        <v>20000</v>
      </c>
      <c r="E21" s="44">
        <f>'Source data'!E14</f>
        <v>59</v>
      </c>
      <c r="F21" s="44">
        <f>'Source data'!F14</f>
        <v>35</v>
      </c>
      <c r="G21" s="51">
        <f>IF(B21="In-Store",'Source data'!J14+Assumptions!$B$15*'Source data'!K14,'Source data'!K14+Assumptions!$B$15*'Source data'!J14)*'Source data'!H14/'Source data'!G14*Assumptions!B7</f>
        <v>14025</v>
      </c>
      <c r="H21" s="51">
        <f t="shared" si="1"/>
        <v>14025</v>
      </c>
      <c r="I21" s="51">
        <f>(D21-H21)*Assumptions!C7</f>
        <v>5975</v>
      </c>
      <c r="J21" s="51">
        <f t="shared" si="2"/>
        <v>0</v>
      </c>
      <c r="K21" s="26">
        <f>E21*(H21+I21*Assumptions!D7)</f>
        <v>1003737.5</v>
      </c>
      <c r="L21" s="26">
        <f t="shared" si="3"/>
        <v>700000</v>
      </c>
      <c r="M21" s="26">
        <f t="shared" si="4"/>
        <v>303737.5</v>
      </c>
      <c r="N21" s="26">
        <f t="shared" si="5"/>
        <v>303737.5</v>
      </c>
      <c r="O21" s="26">
        <f t="shared" si="6"/>
        <v>0</v>
      </c>
      <c r="P21" s="26">
        <f t="shared" si="7"/>
        <v>303737.5</v>
      </c>
      <c r="Q21" s="3">
        <f>COUNTIFS('Product decisions'!$A$7:$A$32,A21,'Product decisions'!$C$7:$C$32,B21)</f>
        <v>1</v>
      </c>
      <c r="R21" s="3">
        <f>COUNTIFS('Product decisions'!$A$7:$A$32,A21,'Product decisions'!$H$7:$H$32,B21)</f>
        <v>0</v>
      </c>
      <c r="S21" s="3">
        <f>COUNTIFS('Product decisions'!$A$7:$A$32,A21,'Product decisions'!$I$7:$I$32,B21)</f>
        <v>0</v>
      </c>
      <c r="T21" s="3">
        <f>COUNTIFS('Product decisions'!$A$7:$A$32,A21,'Product decisions'!$J$7:$J$32,B21)</f>
        <v>1</v>
      </c>
      <c r="U21" s="26">
        <f t="shared" si="8"/>
        <v>0</v>
      </c>
      <c r="V21" s="3">
        <f>'Source data'!D14</f>
        <v>1</v>
      </c>
      <c r="W21" s="27">
        <f t="shared" si="9"/>
        <v>0.3026065082</v>
      </c>
      <c r="X21" s="27">
        <f t="shared" si="10"/>
        <v>0.4339107143</v>
      </c>
    </row>
    <row r="22" ht="33.75" customHeight="1">
      <c r="A22" s="9" t="s">
        <v>82</v>
      </c>
      <c r="B22" s="3" t="s">
        <v>80</v>
      </c>
      <c r="C22" s="3" t="s">
        <v>27</v>
      </c>
      <c r="D22" s="43">
        <f>Assumptions!B28</f>
        <v>20000</v>
      </c>
      <c r="E22" s="44">
        <f>'Source data'!E14</f>
        <v>59</v>
      </c>
      <c r="F22" s="44">
        <f>'Source data'!F14</f>
        <v>35</v>
      </c>
      <c r="G22" s="51">
        <f>IF(B22="In-Store",'Source data'!J14+Assumptions!$B$15*'Source data'!K14,'Source data'!K14+Assumptions!$B$15*'Source data'!J14)*'Source data'!H14/'Source data'!G14*Assumptions!B7</f>
        <v>11475</v>
      </c>
      <c r="H22" s="51">
        <f t="shared" si="1"/>
        <v>11475</v>
      </c>
      <c r="I22" s="51">
        <f>(D22-H22)*Assumptions!C7</f>
        <v>8525</v>
      </c>
      <c r="J22" s="51">
        <f t="shared" si="2"/>
        <v>0</v>
      </c>
      <c r="K22" s="26">
        <f>E22*(H22+I22*Assumptions!D7)</f>
        <v>928512.5</v>
      </c>
      <c r="L22" s="26">
        <f t="shared" si="3"/>
        <v>700000</v>
      </c>
      <c r="M22" s="26">
        <f t="shared" si="4"/>
        <v>228512.5</v>
      </c>
      <c r="N22" s="26">
        <f t="shared" si="5"/>
        <v>228512.5</v>
      </c>
      <c r="O22" s="26">
        <f t="shared" si="6"/>
        <v>0</v>
      </c>
      <c r="P22" s="26">
        <f t="shared" si="7"/>
        <v>0</v>
      </c>
      <c r="Q22" s="3">
        <f>COUNTIFS('Product decisions'!$A$7:$A$32,A22,'Product decisions'!$C$7:$C$32,B22)</f>
        <v>0</v>
      </c>
      <c r="R22" s="3">
        <f>COUNTIFS('Product decisions'!$A$7:$A$32,A22,'Product decisions'!$H$7:$H$32,B22)</f>
        <v>0</v>
      </c>
      <c r="S22" s="3">
        <f>COUNTIFS('Product decisions'!$A$7:$A$32,A22,'Product decisions'!$I$7:$I$32,B22)</f>
        <v>0</v>
      </c>
      <c r="T22" s="3">
        <f>COUNTIFS('Product decisions'!$A$7:$A$32,A22,'Product decisions'!$J$7:$J$32,B22)</f>
        <v>0</v>
      </c>
      <c r="U22" s="26">
        <f t="shared" si="8"/>
        <v>0</v>
      </c>
      <c r="V22" s="3">
        <f>'Source data'!D14</f>
        <v>1</v>
      </c>
      <c r="W22" s="27">
        <f t="shared" si="9"/>
        <v>0.2461060029</v>
      </c>
      <c r="X22" s="27">
        <f t="shared" si="10"/>
        <v>0.3264464286</v>
      </c>
    </row>
    <row r="23" ht="33.75" customHeight="1">
      <c r="A23" s="9" t="s">
        <v>83</v>
      </c>
      <c r="B23" s="3" t="s">
        <v>56</v>
      </c>
      <c r="C23" s="3" t="s">
        <v>27</v>
      </c>
      <c r="D23" s="43">
        <f>Assumptions!B29</f>
        <v>30000</v>
      </c>
      <c r="E23" s="44">
        <f>'Source data'!E15</f>
        <v>24.98</v>
      </c>
      <c r="F23" s="44">
        <f>'Source data'!F15</f>
        <v>4.25</v>
      </c>
      <c r="G23" s="51">
        <f>IF(B23="In-Store",'Source data'!J15+Assumptions!$B$15*'Source data'!K15,'Source data'!K15+Assumptions!$B$15*'Source data'!J15)*'Source data'!H15/'Source data'!G15*Assumptions!B7</f>
        <v>20400</v>
      </c>
      <c r="H23" s="51">
        <f t="shared" si="1"/>
        <v>20400</v>
      </c>
      <c r="I23" s="51">
        <f>(D23-H23)*Assumptions!C7</f>
        <v>9600</v>
      </c>
      <c r="J23" s="51">
        <f t="shared" si="2"/>
        <v>0</v>
      </c>
      <c r="K23" s="26">
        <f>E23*(H23+I23*Assumptions!D7)</f>
        <v>629496</v>
      </c>
      <c r="L23" s="26">
        <f t="shared" si="3"/>
        <v>127500</v>
      </c>
      <c r="M23" s="26">
        <f t="shared" si="4"/>
        <v>501996</v>
      </c>
      <c r="N23" s="26">
        <f t="shared" si="5"/>
        <v>501996</v>
      </c>
      <c r="O23" s="26">
        <f t="shared" si="6"/>
        <v>0</v>
      </c>
      <c r="P23" s="26">
        <f t="shared" si="7"/>
        <v>501996</v>
      </c>
      <c r="Q23" s="3">
        <f>COUNTIFS('Product decisions'!$A$7:$A$32,A23,'Product decisions'!$C$7:$C$32,B23)</f>
        <v>1</v>
      </c>
      <c r="R23" s="3">
        <f>COUNTIFS('Product decisions'!$A$7:$A$32,A23,'Product decisions'!$H$7:$H$32,B23)</f>
        <v>1</v>
      </c>
      <c r="S23" s="3">
        <f>COUNTIFS('Product decisions'!$A$7:$A$32,A23,'Product decisions'!$I$7:$I$32,B23)</f>
        <v>1</v>
      </c>
      <c r="T23" s="3">
        <f>COUNTIFS('Product decisions'!$A$7:$A$32,A23,'Product decisions'!$J$7:$J$32,B23)</f>
        <v>1</v>
      </c>
      <c r="U23" s="26">
        <f t="shared" si="8"/>
        <v>0</v>
      </c>
      <c r="V23" s="3">
        <f>'Source data'!D15</f>
        <v>1</v>
      </c>
      <c r="W23" s="27">
        <f t="shared" si="9"/>
        <v>0.7974570132</v>
      </c>
      <c r="X23" s="27">
        <f t="shared" si="10"/>
        <v>3.937223529</v>
      </c>
    </row>
    <row r="24" ht="33.75" customHeight="1">
      <c r="A24" s="9" t="s">
        <v>83</v>
      </c>
      <c r="B24" s="3" t="s">
        <v>80</v>
      </c>
      <c r="C24" s="3" t="s">
        <v>27</v>
      </c>
      <c r="D24" s="43">
        <f>Assumptions!B29</f>
        <v>30000</v>
      </c>
      <c r="E24" s="44">
        <f>'Source data'!E15</f>
        <v>24.98</v>
      </c>
      <c r="F24" s="44">
        <f>'Source data'!F15</f>
        <v>4.25</v>
      </c>
      <c r="G24" s="51">
        <f>IF(B24="In-Store",'Source data'!J15+Assumptions!$B$15*'Source data'!K15,'Source data'!K15+Assumptions!$B$15*'Source data'!J15)*'Source data'!H15/'Source data'!G15*Assumptions!B7</f>
        <v>15600</v>
      </c>
      <c r="H24" s="51">
        <f t="shared" si="1"/>
        <v>15600</v>
      </c>
      <c r="I24" s="51">
        <f>(D24-H24)*Assumptions!C7</f>
        <v>14400</v>
      </c>
      <c r="J24" s="51">
        <f t="shared" si="2"/>
        <v>0</v>
      </c>
      <c r="K24" s="26">
        <f>E24*(H24+I24*Assumptions!D7)</f>
        <v>569544</v>
      </c>
      <c r="L24" s="26">
        <f t="shared" si="3"/>
        <v>127500</v>
      </c>
      <c r="M24" s="26">
        <f t="shared" si="4"/>
        <v>442044</v>
      </c>
      <c r="N24" s="26">
        <f t="shared" si="5"/>
        <v>442044</v>
      </c>
      <c r="O24" s="26">
        <f t="shared" si="6"/>
        <v>0</v>
      </c>
      <c r="P24" s="26">
        <f t="shared" si="7"/>
        <v>0</v>
      </c>
      <c r="Q24" s="3">
        <f>COUNTIFS('Product decisions'!$A$7:$A$32,A24,'Product decisions'!$C$7:$C$32,B24)</f>
        <v>0</v>
      </c>
      <c r="R24" s="3">
        <f>COUNTIFS('Product decisions'!$A$7:$A$32,A24,'Product decisions'!$H$7:$H$32,B24)</f>
        <v>0</v>
      </c>
      <c r="S24" s="3">
        <f>COUNTIFS('Product decisions'!$A$7:$A$32,A24,'Product decisions'!$I$7:$I$32,B24)</f>
        <v>0</v>
      </c>
      <c r="T24" s="3">
        <f>COUNTIFS('Product decisions'!$A$7:$A$32,A24,'Product decisions'!$J$7:$J$32,B24)</f>
        <v>0</v>
      </c>
      <c r="U24" s="26">
        <f t="shared" si="8"/>
        <v>0</v>
      </c>
      <c r="V24" s="3">
        <f>'Source data'!D15</f>
        <v>1</v>
      </c>
      <c r="W24" s="27">
        <f t="shared" si="9"/>
        <v>0.7761366988</v>
      </c>
      <c r="X24" s="27">
        <f t="shared" si="10"/>
        <v>3.467011765</v>
      </c>
    </row>
    <row r="25" ht="33.75" customHeight="1">
      <c r="A25" s="9" t="s">
        <v>85</v>
      </c>
      <c r="B25" s="3" t="s">
        <v>56</v>
      </c>
      <c r="C25" s="3" t="s">
        <v>27</v>
      </c>
      <c r="D25" s="43">
        <f>Assumptions!B30</f>
        <v>7000</v>
      </c>
      <c r="E25" s="44">
        <f>'Source data'!E16</f>
        <v>149</v>
      </c>
      <c r="F25" s="44">
        <f>'Source data'!F16</f>
        <v>52</v>
      </c>
      <c r="G25" s="51">
        <f>IF(B25="In-Store",'Source data'!J16+Assumptions!$B$15*'Source data'!K16,'Source data'!K16+Assumptions!$B$15*'Source data'!J16)*'Source data'!H16/'Source data'!G16*Assumptions!B7</f>
        <v>4060</v>
      </c>
      <c r="H25" s="51">
        <f t="shared" si="1"/>
        <v>4060</v>
      </c>
      <c r="I25" s="51">
        <f>(D25-H25)*Assumptions!C7</f>
        <v>2940</v>
      </c>
      <c r="J25" s="51">
        <f t="shared" si="2"/>
        <v>0</v>
      </c>
      <c r="K25" s="26">
        <f>E25*(H25+I25*Assumptions!D7)</f>
        <v>823970</v>
      </c>
      <c r="L25" s="26">
        <f t="shared" si="3"/>
        <v>364000</v>
      </c>
      <c r="M25" s="26">
        <f t="shared" si="4"/>
        <v>459970</v>
      </c>
      <c r="N25" s="26">
        <f t="shared" si="5"/>
        <v>459970</v>
      </c>
      <c r="O25" s="26">
        <f t="shared" si="6"/>
        <v>0</v>
      </c>
      <c r="P25" s="26">
        <f t="shared" si="7"/>
        <v>459970</v>
      </c>
      <c r="Q25" s="3">
        <f>COUNTIFS('Product decisions'!$A$7:$A$32,A25,'Product decisions'!$C$7:$C$32,B25)</f>
        <v>1</v>
      </c>
      <c r="R25" s="3">
        <f>COUNTIFS('Product decisions'!$A$7:$A$32,A25,'Product decisions'!$H$7:$H$32,B25)</f>
        <v>1</v>
      </c>
      <c r="S25" s="3">
        <f>COUNTIFS('Product decisions'!$A$7:$A$32,A25,'Product decisions'!$I$7:$I$32,B25)</f>
        <v>1</v>
      </c>
      <c r="T25" s="3">
        <f>COUNTIFS('Product decisions'!$A$7:$A$32,A25,'Product decisions'!$J$7:$J$32,B25)</f>
        <v>1</v>
      </c>
      <c r="U25" s="26">
        <f t="shared" si="8"/>
        <v>0</v>
      </c>
      <c r="V25" s="3">
        <f>'Source data'!D16</f>
        <v>1</v>
      </c>
      <c r="W25" s="27">
        <f t="shared" si="9"/>
        <v>0.5582363436</v>
      </c>
      <c r="X25" s="27">
        <f t="shared" si="10"/>
        <v>1.263653846</v>
      </c>
    </row>
    <row r="26" ht="33.75" customHeight="1">
      <c r="A26" s="9" t="s">
        <v>85</v>
      </c>
      <c r="B26" s="3" t="s">
        <v>80</v>
      </c>
      <c r="C26" s="3" t="s">
        <v>27</v>
      </c>
      <c r="D26" s="43">
        <f>Assumptions!B30</f>
        <v>7000</v>
      </c>
      <c r="E26" s="44">
        <f>'Source data'!E16</f>
        <v>149</v>
      </c>
      <c r="F26" s="44">
        <f>'Source data'!F16</f>
        <v>52</v>
      </c>
      <c r="G26" s="51">
        <f>IF(B26="In-Store",'Source data'!J16+Assumptions!$B$15*'Source data'!K16,'Source data'!K16+Assumptions!$B$15*'Source data'!J16)*'Source data'!H16/'Source data'!G16*Assumptions!B7</f>
        <v>4340</v>
      </c>
      <c r="H26" s="51">
        <f t="shared" si="1"/>
        <v>4340</v>
      </c>
      <c r="I26" s="51">
        <f>(D26-H26)*Assumptions!C7</f>
        <v>2660</v>
      </c>
      <c r="J26" s="51">
        <f t="shared" si="2"/>
        <v>0</v>
      </c>
      <c r="K26" s="26">
        <f>E26*(H26+I26*Assumptions!D7)</f>
        <v>844830</v>
      </c>
      <c r="L26" s="26">
        <f t="shared" si="3"/>
        <v>364000</v>
      </c>
      <c r="M26" s="26">
        <f t="shared" si="4"/>
        <v>480830</v>
      </c>
      <c r="N26" s="26">
        <f t="shared" si="5"/>
        <v>480830</v>
      </c>
      <c r="O26" s="26">
        <f t="shared" si="6"/>
        <v>0</v>
      </c>
      <c r="P26" s="26">
        <f t="shared" si="7"/>
        <v>0</v>
      </c>
      <c r="Q26" s="3">
        <f>COUNTIFS('Product decisions'!$A$7:$A$32,A26,'Product decisions'!$C$7:$C$32,B26)</f>
        <v>0</v>
      </c>
      <c r="R26" s="3">
        <f>COUNTIFS('Product decisions'!$A$7:$A$32,A26,'Product decisions'!$H$7:$H$32,B26)</f>
        <v>0</v>
      </c>
      <c r="S26" s="3">
        <f>COUNTIFS('Product decisions'!$A$7:$A$32,A26,'Product decisions'!$I$7:$I$32,B26)</f>
        <v>0</v>
      </c>
      <c r="T26" s="3">
        <f>COUNTIFS('Product decisions'!$A$7:$A$32,A26,'Product decisions'!$J$7:$J$32,B26)</f>
        <v>0</v>
      </c>
      <c r="U26" s="26">
        <f t="shared" si="8"/>
        <v>0</v>
      </c>
      <c r="V26" s="3">
        <f>'Source data'!D16</f>
        <v>1</v>
      </c>
      <c r="W26" s="27">
        <f t="shared" si="9"/>
        <v>0.5691440882</v>
      </c>
      <c r="X26" s="27">
        <f t="shared" si="10"/>
        <v>1.320961538</v>
      </c>
    </row>
    <row r="27" ht="33.75" customHeight="1">
      <c r="A27" s="9" t="s">
        <v>86</v>
      </c>
      <c r="B27" s="3" t="s">
        <v>56</v>
      </c>
      <c r="C27" s="3" t="s">
        <v>27</v>
      </c>
      <c r="D27" s="43">
        <f>Assumptions!B31</f>
        <v>25000</v>
      </c>
      <c r="E27" s="44">
        <f>'Source data'!E17</f>
        <v>59</v>
      </c>
      <c r="F27" s="44">
        <f>'Source data'!F17</f>
        <v>37</v>
      </c>
      <c r="G27" s="51">
        <f>IF(B27="In-Store",'Source data'!J17+Assumptions!$B$15*'Source data'!K17,'Source data'!K17+Assumptions!$B$15*'Source data'!J17)*'Source data'!H17/'Source data'!G17*Assumptions!B7</f>
        <v>6400</v>
      </c>
      <c r="H27" s="51">
        <f t="shared" si="1"/>
        <v>6400</v>
      </c>
      <c r="I27" s="51">
        <f>(D27-H27)*Assumptions!C7</f>
        <v>18600</v>
      </c>
      <c r="J27" s="51">
        <f t="shared" si="2"/>
        <v>0</v>
      </c>
      <c r="K27" s="26">
        <f>E27*(H27+I27*Assumptions!D7)</f>
        <v>926300</v>
      </c>
      <c r="L27" s="26">
        <f t="shared" si="3"/>
        <v>925000</v>
      </c>
      <c r="M27" s="26">
        <f t="shared" si="4"/>
        <v>1300</v>
      </c>
      <c r="N27" s="26">
        <f t="shared" si="5"/>
        <v>1300</v>
      </c>
      <c r="O27" s="26">
        <f t="shared" si="6"/>
        <v>0</v>
      </c>
      <c r="P27" s="26">
        <f t="shared" si="7"/>
        <v>1300</v>
      </c>
      <c r="Q27" s="3">
        <f>COUNTIFS('Product decisions'!$A$7:$A$32,A27,'Product decisions'!$C$7:$C$32,B27)</f>
        <v>0</v>
      </c>
      <c r="R27" s="3">
        <f>COUNTIFS('Product decisions'!$A$7:$A$32,A27,'Product decisions'!$H$7:$H$32,B27)</f>
        <v>0</v>
      </c>
      <c r="S27" s="3">
        <f>COUNTIFS('Product decisions'!$A$7:$A$32,A27,'Product decisions'!$I$7:$I$32,B27)</f>
        <v>0</v>
      </c>
      <c r="T27" s="3">
        <f>COUNTIFS('Product decisions'!$A$7:$A$32,A27,'Product decisions'!$J$7:$J$32,B27)</f>
        <v>0</v>
      </c>
      <c r="U27" s="26">
        <f t="shared" si="8"/>
        <v>0</v>
      </c>
      <c r="V27" s="3">
        <f>'Source data'!D17</f>
        <v>1</v>
      </c>
      <c r="W27" s="27">
        <f t="shared" si="9"/>
        <v>0.001403433013</v>
      </c>
      <c r="X27" s="27">
        <f t="shared" si="10"/>
        <v>0.001405405405</v>
      </c>
    </row>
    <row r="28" ht="33.75" customHeight="1">
      <c r="A28" s="9" t="s">
        <v>86</v>
      </c>
      <c r="B28" s="3" t="s">
        <v>80</v>
      </c>
      <c r="C28" s="3" t="s">
        <v>27</v>
      </c>
      <c r="D28" s="43">
        <f>Assumptions!B31</f>
        <v>25000</v>
      </c>
      <c r="E28" s="44">
        <f>'Source data'!E17</f>
        <v>59</v>
      </c>
      <c r="F28" s="44">
        <f>'Source data'!F17</f>
        <v>37</v>
      </c>
      <c r="G28" s="51">
        <f>IF(B28="In-Store",'Source data'!J17+Assumptions!$B$15*'Source data'!K17,'Source data'!K17+Assumptions!$B$15*'Source data'!J17)*'Source data'!H17/'Source data'!G17*Assumptions!B7</f>
        <v>5600</v>
      </c>
      <c r="H28" s="51">
        <f t="shared" si="1"/>
        <v>5600</v>
      </c>
      <c r="I28" s="51">
        <f>(D28-H28)*Assumptions!C7</f>
        <v>19400</v>
      </c>
      <c r="J28" s="51">
        <f t="shared" si="2"/>
        <v>0</v>
      </c>
      <c r="K28" s="26">
        <f>E28*(H28+I28*Assumptions!D7)</f>
        <v>902700</v>
      </c>
      <c r="L28" s="26">
        <f t="shared" si="3"/>
        <v>925000</v>
      </c>
      <c r="M28" s="26">
        <f t="shared" si="4"/>
        <v>-22300</v>
      </c>
      <c r="N28" s="26">
        <f t="shared" si="5"/>
        <v>-22300</v>
      </c>
      <c r="O28" s="26">
        <f t="shared" si="6"/>
        <v>0</v>
      </c>
      <c r="P28" s="26">
        <f t="shared" si="7"/>
        <v>0</v>
      </c>
      <c r="Q28" s="3">
        <f>COUNTIFS('Product decisions'!$A$7:$A$32,A28,'Product decisions'!$C$7:$C$32,B28)</f>
        <v>0</v>
      </c>
      <c r="R28" s="3">
        <f>COUNTIFS('Product decisions'!$A$7:$A$32,A28,'Product decisions'!$H$7:$H$32,B28)</f>
        <v>0</v>
      </c>
      <c r="S28" s="3">
        <f>COUNTIFS('Product decisions'!$A$7:$A$32,A28,'Product decisions'!$I$7:$I$32,B28)</f>
        <v>0</v>
      </c>
      <c r="T28" s="3">
        <f>COUNTIFS('Product decisions'!$A$7:$A$32,A28,'Product decisions'!$J$7:$J$32,B28)</f>
        <v>0</v>
      </c>
      <c r="U28" s="26">
        <f t="shared" si="8"/>
        <v>0</v>
      </c>
      <c r="V28" s="3">
        <f>'Source data'!D17</f>
        <v>1</v>
      </c>
      <c r="W28" s="27">
        <f t="shared" si="9"/>
        <v>-0.02470366678</v>
      </c>
      <c r="X28" s="27">
        <f t="shared" si="10"/>
        <v>-0.02410810811</v>
      </c>
    </row>
    <row r="29" ht="33.75" customHeight="1">
      <c r="A29" s="9" t="s">
        <v>88</v>
      </c>
      <c r="B29" s="3" t="s">
        <v>56</v>
      </c>
      <c r="C29" s="3" t="s">
        <v>27</v>
      </c>
      <c r="D29" s="43">
        <f>Assumptions!B32</f>
        <v>18000</v>
      </c>
      <c r="E29" s="44">
        <f>'Source data'!E18</f>
        <v>34.98</v>
      </c>
      <c r="F29" s="44">
        <f>'Source data'!F18</f>
        <v>12</v>
      </c>
      <c r="G29" s="51">
        <f>IF(B29="In-Store",'Source data'!J18+Assumptions!$B$15*'Source data'!K18,'Source data'!K18+Assumptions!$B$15*'Source data'!J18)*'Source data'!H18/'Source data'!G18*Assumptions!B7</f>
        <v>13005</v>
      </c>
      <c r="H29" s="51">
        <f t="shared" si="1"/>
        <v>13005</v>
      </c>
      <c r="I29" s="51">
        <f>(D29-H29)*Assumptions!C7</f>
        <v>4995</v>
      </c>
      <c r="J29" s="51">
        <f t="shared" si="2"/>
        <v>0</v>
      </c>
      <c r="K29" s="26">
        <f>E29*(H29+I29*Assumptions!D7)</f>
        <v>542277.45</v>
      </c>
      <c r="L29" s="26">
        <f t="shared" si="3"/>
        <v>216000</v>
      </c>
      <c r="M29" s="26">
        <f t="shared" si="4"/>
        <v>326277.45</v>
      </c>
      <c r="N29" s="26">
        <f t="shared" si="5"/>
        <v>326277.45</v>
      </c>
      <c r="O29" s="26">
        <f t="shared" si="6"/>
        <v>0</v>
      </c>
      <c r="P29" s="26">
        <f t="shared" si="7"/>
        <v>326277.45</v>
      </c>
      <c r="Q29" s="3">
        <f>COUNTIFS('Product decisions'!$A$7:$A$32,A29,'Product decisions'!$C$7:$C$32,B29)</f>
        <v>1</v>
      </c>
      <c r="R29" s="3">
        <f>COUNTIFS('Product decisions'!$A$7:$A$32,A29,'Product decisions'!$H$7:$H$32,B29)</f>
        <v>1</v>
      </c>
      <c r="S29" s="3">
        <f>COUNTIFS('Product decisions'!$A$7:$A$32,A29,'Product decisions'!$I$7:$I$32,B29)</f>
        <v>1</v>
      </c>
      <c r="T29" s="3">
        <f>COUNTIFS('Product decisions'!$A$7:$A$32,A29,'Product decisions'!$J$7:$J$32,B29)</f>
        <v>1</v>
      </c>
      <c r="U29" s="26">
        <f t="shared" si="8"/>
        <v>0</v>
      </c>
      <c r="V29" s="3">
        <f>'Source data'!D18</f>
        <v>1</v>
      </c>
      <c r="W29" s="27">
        <f t="shared" si="9"/>
        <v>0.601679915</v>
      </c>
      <c r="X29" s="27">
        <f t="shared" si="10"/>
        <v>1.51054375</v>
      </c>
    </row>
    <row r="30" ht="33.75" customHeight="1">
      <c r="A30" s="9" t="s">
        <v>88</v>
      </c>
      <c r="B30" s="3" t="s">
        <v>80</v>
      </c>
      <c r="C30" s="3" t="s">
        <v>27</v>
      </c>
      <c r="D30" s="43">
        <f>Assumptions!B32</f>
        <v>18000</v>
      </c>
      <c r="E30" s="44">
        <f>'Source data'!E18</f>
        <v>34.98</v>
      </c>
      <c r="F30" s="44">
        <f>'Source data'!F18</f>
        <v>12</v>
      </c>
      <c r="G30" s="51">
        <f>IF(B30="In-Store",'Source data'!J18+Assumptions!$B$15*'Source data'!K18,'Source data'!K18+Assumptions!$B$15*'Source data'!J18)*'Source data'!H18/'Source data'!G18*Assumptions!B7</f>
        <v>9945</v>
      </c>
      <c r="H30" s="51">
        <f t="shared" si="1"/>
        <v>9945</v>
      </c>
      <c r="I30" s="51">
        <f>(D30-H30)*Assumptions!C7</f>
        <v>8055</v>
      </c>
      <c r="J30" s="51">
        <f t="shared" si="2"/>
        <v>0</v>
      </c>
      <c r="K30" s="26">
        <f>E30*(H30+I30*Assumptions!D7)</f>
        <v>488758.05</v>
      </c>
      <c r="L30" s="26">
        <f t="shared" si="3"/>
        <v>216000</v>
      </c>
      <c r="M30" s="26">
        <f t="shared" si="4"/>
        <v>272758.05</v>
      </c>
      <c r="N30" s="26">
        <f t="shared" si="5"/>
        <v>272758.05</v>
      </c>
      <c r="O30" s="26">
        <f t="shared" si="6"/>
        <v>0</v>
      </c>
      <c r="P30" s="26">
        <f t="shared" si="7"/>
        <v>0</v>
      </c>
      <c r="Q30" s="3">
        <f>COUNTIFS('Product decisions'!$A$7:$A$32,A30,'Product decisions'!$C$7:$C$32,B30)</f>
        <v>0</v>
      </c>
      <c r="R30" s="3">
        <f>COUNTIFS('Product decisions'!$A$7:$A$32,A30,'Product decisions'!$H$7:$H$32,B30)</f>
        <v>0</v>
      </c>
      <c r="S30" s="3">
        <f>COUNTIFS('Product decisions'!$A$7:$A$32,A30,'Product decisions'!$I$7:$I$32,B30)</f>
        <v>0</v>
      </c>
      <c r="T30" s="3">
        <f>COUNTIFS('Product decisions'!$A$7:$A$32,A30,'Product decisions'!$J$7:$J$32,B30)</f>
        <v>0</v>
      </c>
      <c r="U30" s="26">
        <f t="shared" si="8"/>
        <v>0</v>
      </c>
      <c r="V30" s="3">
        <f>'Source data'!D18</f>
        <v>1</v>
      </c>
      <c r="W30" s="27">
        <f t="shared" si="9"/>
        <v>0.5580635449</v>
      </c>
      <c r="X30" s="27">
        <f t="shared" si="10"/>
        <v>1.26276875</v>
      </c>
    </row>
    <row r="31" ht="33.75" customHeight="1">
      <c r="A31" s="9" t="s">
        <v>91</v>
      </c>
      <c r="B31" s="3" t="s">
        <v>56</v>
      </c>
      <c r="C31" s="3" t="s">
        <v>27</v>
      </c>
      <c r="D31" s="43">
        <f>Assumptions!B33</f>
        <v>6000</v>
      </c>
      <c r="E31" s="44">
        <f>'Source data'!E19</f>
        <v>199</v>
      </c>
      <c r="F31" s="44">
        <f>'Source data'!F19</f>
        <v>95</v>
      </c>
      <c r="G31" s="51">
        <f>IF(B31="In-Store",'Source data'!J19+Assumptions!$B$15*'Source data'!K19,'Source data'!K19+Assumptions!$B$15*'Source data'!J19)*'Source data'!H19/'Source data'!G19*Assumptions!B7</f>
        <v>2550</v>
      </c>
      <c r="H31" s="51">
        <f t="shared" si="1"/>
        <v>2550</v>
      </c>
      <c r="I31" s="51">
        <f>(D31-H31)*Assumptions!C7</f>
        <v>3450</v>
      </c>
      <c r="J31" s="51">
        <f t="shared" si="2"/>
        <v>0</v>
      </c>
      <c r="K31" s="26">
        <f>E31*(H31+I31*Assumptions!D7)</f>
        <v>850725</v>
      </c>
      <c r="L31" s="26">
        <f t="shared" si="3"/>
        <v>570000</v>
      </c>
      <c r="M31" s="26">
        <f t="shared" si="4"/>
        <v>280725</v>
      </c>
      <c r="N31" s="26">
        <f t="shared" si="5"/>
        <v>280725</v>
      </c>
      <c r="O31" s="26">
        <f t="shared" si="6"/>
        <v>0</v>
      </c>
      <c r="P31" s="26">
        <f t="shared" si="7"/>
        <v>93575</v>
      </c>
      <c r="Q31" s="3">
        <f>COUNTIFS('Product decisions'!$A$7:$A$32,A31,'Product decisions'!$C$7:$C$32,B31)</f>
        <v>0</v>
      </c>
      <c r="R31" s="3">
        <f>COUNTIFS('Product decisions'!$A$7:$A$32,A31,'Product decisions'!$H$7:$H$32,B31)</f>
        <v>0</v>
      </c>
      <c r="S31" s="3">
        <f>COUNTIFS('Product decisions'!$A$7:$A$32,A31,'Product decisions'!$I$7:$I$32,B31)</f>
        <v>1</v>
      </c>
      <c r="T31" s="3">
        <f>COUNTIFS('Product decisions'!$A$7:$A$32,A31,'Product decisions'!$J$7:$J$32,B31)</f>
        <v>0</v>
      </c>
      <c r="U31" s="26">
        <f t="shared" si="8"/>
        <v>0</v>
      </c>
      <c r="V31" s="3">
        <f>'Source data'!D19</f>
        <v>3</v>
      </c>
      <c r="W31" s="27">
        <f t="shared" si="9"/>
        <v>0.3299832496</v>
      </c>
      <c r="X31" s="27">
        <f t="shared" si="10"/>
        <v>0.4925</v>
      </c>
    </row>
    <row r="32" ht="33.75" customHeight="1">
      <c r="A32" s="9" t="s">
        <v>91</v>
      </c>
      <c r="B32" s="3" t="s">
        <v>80</v>
      </c>
      <c r="C32" s="3" t="s">
        <v>27</v>
      </c>
      <c r="D32" s="43">
        <f>Assumptions!B33</f>
        <v>6000</v>
      </c>
      <c r="E32" s="44">
        <f>'Source data'!E19</f>
        <v>199</v>
      </c>
      <c r="F32" s="44">
        <f>'Source data'!F19</f>
        <v>95</v>
      </c>
      <c r="G32" s="51">
        <f>IF(B32="In-Store",'Source data'!J19+Assumptions!$B$15*'Source data'!K19,'Source data'!K19+Assumptions!$B$15*'Source data'!J19)*'Source data'!H19/'Source data'!G19*Assumptions!B7</f>
        <v>5100</v>
      </c>
      <c r="H32" s="51">
        <f t="shared" si="1"/>
        <v>5100</v>
      </c>
      <c r="I32" s="51">
        <f>(D32-H32)*Assumptions!C7</f>
        <v>900</v>
      </c>
      <c r="J32" s="51">
        <f t="shared" si="2"/>
        <v>0</v>
      </c>
      <c r="K32" s="26">
        <f>E32*(H32+I32*Assumptions!D7)</f>
        <v>1104450</v>
      </c>
      <c r="L32" s="26">
        <f t="shared" si="3"/>
        <v>570000</v>
      </c>
      <c r="M32" s="26">
        <f t="shared" si="4"/>
        <v>534450</v>
      </c>
      <c r="N32" s="26">
        <f t="shared" si="5"/>
        <v>534450</v>
      </c>
      <c r="O32" s="26">
        <f t="shared" si="6"/>
        <v>0</v>
      </c>
      <c r="P32" s="26">
        <f t="shared" si="7"/>
        <v>0</v>
      </c>
      <c r="Q32" s="3">
        <f>COUNTIFS('Product decisions'!$A$7:$A$32,A32,'Product decisions'!$C$7:$C$32,B32)</f>
        <v>1</v>
      </c>
      <c r="R32" s="3">
        <f>COUNTIFS('Product decisions'!$A$7:$A$32,A32,'Product decisions'!$H$7:$H$32,B32)</f>
        <v>1</v>
      </c>
      <c r="S32" s="3">
        <f>COUNTIFS('Product decisions'!$A$7:$A$32,A32,'Product decisions'!$I$7:$I$32,B32)</f>
        <v>0</v>
      </c>
      <c r="T32" s="3">
        <f>COUNTIFS('Product decisions'!$A$7:$A$32,A32,'Product decisions'!$J$7:$J$32,B32)</f>
        <v>1</v>
      </c>
      <c r="U32" s="26">
        <f t="shared" si="8"/>
        <v>0</v>
      </c>
      <c r="V32" s="3">
        <f>'Source data'!D19</f>
        <v>3</v>
      </c>
      <c r="W32" s="27">
        <f t="shared" si="9"/>
        <v>0.4839060166</v>
      </c>
      <c r="X32" s="27">
        <f t="shared" si="10"/>
        <v>0.9376315789</v>
      </c>
    </row>
    <row r="33" ht="33.75" customHeight="1">
      <c r="A33" s="9" t="s">
        <v>93</v>
      </c>
      <c r="B33" s="3" t="s">
        <v>56</v>
      </c>
      <c r="C33" s="3" t="s">
        <v>27</v>
      </c>
      <c r="D33" s="43">
        <f>Assumptions!B34</f>
        <v>4000</v>
      </c>
      <c r="E33" s="44">
        <f>'Source data'!E20</f>
        <v>399</v>
      </c>
      <c r="F33" s="44">
        <f>'Source data'!F20</f>
        <v>150</v>
      </c>
      <c r="G33" s="51">
        <f>IF(B33="In-Store",'Source data'!J20+Assumptions!$B$15*'Source data'!K20,'Source data'!K20+Assumptions!$B$15*'Source data'!J20)*'Source data'!H20/'Source data'!G20*Assumptions!B7</f>
        <v>1800</v>
      </c>
      <c r="H33" s="51">
        <f t="shared" si="1"/>
        <v>1800</v>
      </c>
      <c r="I33" s="51">
        <f>(D33-H33)*Assumptions!C7</f>
        <v>2200</v>
      </c>
      <c r="J33" s="51">
        <f t="shared" si="2"/>
        <v>0</v>
      </c>
      <c r="K33" s="26">
        <f>E33*(H33+I33*Assumptions!D7)</f>
        <v>1157100</v>
      </c>
      <c r="L33" s="26">
        <f t="shared" si="3"/>
        <v>600000</v>
      </c>
      <c r="M33" s="26">
        <f t="shared" si="4"/>
        <v>557100</v>
      </c>
      <c r="N33" s="26">
        <f t="shared" si="5"/>
        <v>557100</v>
      </c>
      <c r="O33" s="26">
        <f t="shared" si="6"/>
        <v>0</v>
      </c>
      <c r="P33" s="26">
        <f t="shared" si="7"/>
        <v>278550</v>
      </c>
      <c r="Q33" s="3">
        <f>COUNTIFS('Product decisions'!$A$7:$A$32,A33,'Product decisions'!$C$7:$C$32,B33)</f>
        <v>0</v>
      </c>
      <c r="R33" s="3">
        <f>COUNTIFS('Product decisions'!$A$7:$A$32,A33,'Product decisions'!$H$7:$H$32,B33)</f>
        <v>0</v>
      </c>
      <c r="S33" s="3">
        <f>COUNTIFS('Product decisions'!$A$7:$A$32,A33,'Product decisions'!$I$7:$I$32,B33)</f>
        <v>0</v>
      </c>
      <c r="T33" s="3">
        <f>COUNTIFS('Product decisions'!$A$7:$A$32,A33,'Product decisions'!$J$7:$J$32,B33)</f>
        <v>0</v>
      </c>
      <c r="U33" s="26">
        <f t="shared" si="8"/>
        <v>0</v>
      </c>
      <c r="V33" s="3">
        <f>'Source data'!D20</f>
        <v>2</v>
      </c>
      <c r="W33" s="27">
        <f t="shared" si="9"/>
        <v>0.4814622764</v>
      </c>
      <c r="X33" s="27">
        <f t="shared" si="10"/>
        <v>0.9285</v>
      </c>
    </row>
    <row r="34" ht="33.75" customHeight="1">
      <c r="A34" s="9" t="s">
        <v>93</v>
      </c>
      <c r="B34" s="3" t="s">
        <v>80</v>
      </c>
      <c r="C34" s="3" t="s">
        <v>27</v>
      </c>
      <c r="D34" s="43">
        <f>Assumptions!B34</f>
        <v>4000</v>
      </c>
      <c r="E34" s="44">
        <f>'Source data'!E20</f>
        <v>399</v>
      </c>
      <c r="F34" s="44">
        <f>'Source data'!F20</f>
        <v>150</v>
      </c>
      <c r="G34" s="51">
        <f>IF(B34="In-Store",'Source data'!J20+Assumptions!$B$15*'Source data'!K20,'Source data'!K20+Assumptions!$B$15*'Source data'!J20)*'Source data'!H20/'Source data'!G20*Assumptions!B7</f>
        <v>3600</v>
      </c>
      <c r="H34" s="51">
        <f t="shared" si="1"/>
        <v>3600</v>
      </c>
      <c r="I34" s="51">
        <f>(D34-H34)*Assumptions!C7</f>
        <v>400</v>
      </c>
      <c r="J34" s="51">
        <f t="shared" si="2"/>
        <v>0</v>
      </c>
      <c r="K34" s="26">
        <f>E34*(H34+I34*Assumptions!D7)</f>
        <v>1516200</v>
      </c>
      <c r="L34" s="26">
        <f t="shared" si="3"/>
        <v>600000</v>
      </c>
      <c r="M34" s="26">
        <f t="shared" si="4"/>
        <v>916200</v>
      </c>
      <c r="N34" s="26">
        <f t="shared" si="5"/>
        <v>916200</v>
      </c>
      <c r="O34" s="26">
        <f t="shared" si="6"/>
        <v>0</v>
      </c>
      <c r="P34" s="26">
        <f t="shared" si="7"/>
        <v>0</v>
      </c>
      <c r="Q34" s="3">
        <f>COUNTIFS('Product decisions'!$A$7:$A$32,A34,'Product decisions'!$C$7:$C$32,B34)</f>
        <v>1</v>
      </c>
      <c r="R34" s="3">
        <f>COUNTIFS('Product decisions'!$A$7:$A$32,A34,'Product decisions'!$H$7:$H$32,B34)</f>
        <v>1</v>
      </c>
      <c r="S34" s="3">
        <f>COUNTIFS('Product decisions'!$A$7:$A$32,A34,'Product decisions'!$I$7:$I$32,B34)</f>
        <v>1</v>
      </c>
      <c r="T34" s="3">
        <f>COUNTIFS('Product decisions'!$A$7:$A$32,A34,'Product decisions'!$J$7:$J$32,B34)</f>
        <v>1</v>
      </c>
      <c r="U34" s="26">
        <f t="shared" si="8"/>
        <v>0</v>
      </c>
      <c r="V34" s="3">
        <f>'Source data'!D20</f>
        <v>2</v>
      </c>
      <c r="W34" s="27">
        <f t="shared" si="9"/>
        <v>0.6042738425</v>
      </c>
      <c r="X34" s="27">
        <f t="shared" si="10"/>
        <v>1.527</v>
      </c>
    </row>
    <row r="35" ht="33.75" customHeight="1">
      <c r="A35" s="9" t="s">
        <v>96</v>
      </c>
      <c r="B35" s="3" t="s">
        <v>56</v>
      </c>
      <c r="C35" s="3" t="s">
        <v>27</v>
      </c>
      <c r="D35" s="43">
        <f>Assumptions!B35</f>
        <v>5000</v>
      </c>
      <c r="E35" s="44">
        <f>'Source data'!E21</f>
        <v>79</v>
      </c>
      <c r="F35" s="44">
        <f>'Source data'!F21</f>
        <v>30</v>
      </c>
      <c r="G35" s="51">
        <f>IF(B35="In-Store",'Source data'!J21+Assumptions!$B$15*'Source data'!K21,'Source data'!K21+Assumptions!$B$15*'Source data'!J21)*'Source data'!H21/'Source data'!G21*Assumptions!B7</f>
        <v>2125</v>
      </c>
      <c r="H35" s="51">
        <f t="shared" si="1"/>
        <v>2125</v>
      </c>
      <c r="I35" s="51">
        <f>(D35-H35)*Assumptions!C7</f>
        <v>2875</v>
      </c>
      <c r="J35" s="51">
        <f t="shared" si="2"/>
        <v>0</v>
      </c>
      <c r="K35" s="26">
        <f>E35*(H35+I35*Assumptions!D7)</f>
        <v>281437.5</v>
      </c>
      <c r="L35" s="26">
        <f t="shared" si="3"/>
        <v>150000</v>
      </c>
      <c r="M35" s="26">
        <f t="shared" si="4"/>
        <v>131437.5</v>
      </c>
      <c r="N35" s="26">
        <f t="shared" si="5"/>
        <v>131437.5</v>
      </c>
      <c r="O35" s="26">
        <f t="shared" si="6"/>
        <v>0</v>
      </c>
      <c r="P35" s="26">
        <f t="shared" si="7"/>
        <v>131437.5</v>
      </c>
      <c r="Q35" s="3">
        <f>COUNTIFS('Product decisions'!$A$7:$A$32,A35,'Product decisions'!$C$7:$C$32,B35)</f>
        <v>0</v>
      </c>
      <c r="R35" s="3">
        <f>COUNTIFS('Product decisions'!$A$7:$A$32,A35,'Product decisions'!$H$7:$H$32,B35)</f>
        <v>0</v>
      </c>
      <c r="S35" s="3">
        <f>COUNTIFS('Product decisions'!$A$7:$A$32,A35,'Product decisions'!$I$7:$I$32,B35)</f>
        <v>0</v>
      </c>
      <c r="T35" s="3">
        <f>COUNTIFS('Product decisions'!$A$7:$A$32,A35,'Product decisions'!$J$7:$J$32,B35)</f>
        <v>0</v>
      </c>
      <c r="U35" s="26">
        <f t="shared" si="8"/>
        <v>0</v>
      </c>
      <c r="V35" s="3">
        <f>'Source data'!D21</f>
        <v>1</v>
      </c>
      <c r="W35" s="27">
        <f t="shared" si="9"/>
        <v>0.4670219853</v>
      </c>
      <c r="X35" s="27">
        <f t="shared" si="10"/>
        <v>0.87625</v>
      </c>
    </row>
    <row r="36" ht="33.75" customHeight="1">
      <c r="A36" s="9" t="s">
        <v>96</v>
      </c>
      <c r="B36" s="3" t="s">
        <v>80</v>
      </c>
      <c r="C36" s="3" t="s">
        <v>27</v>
      </c>
      <c r="D36" s="43">
        <f>Assumptions!B35</f>
        <v>5000</v>
      </c>
      <c r="E36" s="44">
        <f>'Source data'!E21</f>
        <v>79</v>
      </c>
      <c r="F36" s="44">
        <f>'Source data'!F21</f>
        <v>30</v>
      </c>
      <c r="G36" s="51">
        <f>IF(B36="In-Store",'Source data'!J21+Assumptions!$B$15*'Source data'!K21,'Source data'!K21+Assumptions!$B$15*'Source data'!J21)*'Source data'!H21/'Source data'!G21*Assumptions!B7</f>
        <v>4250</v>
      </c>
      <c r="H36" s="51">
        <f t="shared" si="1"/>
        <v>4250</v>
      </c>
      <c r="I36" s="51">
        <f>(D36-H36)*Assumptions!C7</f>
        <v>750</v>
      </c>
      <c r="J36" s="51">
        <f t="shared" si="2"/>
        <v>0</v>
      </c>
      <c r="K36" s="26">
        <f>E36*(H36+I36*Assumptions!D7)</f>
        <v>365375</v>
      </c>
      <c r="L36" s="26">
        <f t="shared" si="3"/>
        <v>150000</v>
      </c>
      <c r="M36" s="26">
        <f t="shared" si="4"/>
        <v>215375</v>
      </c>
      <c r="N36" s="26">
        <f t="shared" si="5"/>
        <v>215375</v>
      </c>
      <c r="O36" s="26">
        <f t="shared" si="6"/>
        <v>0</v>
      </c>
      <c r="P36" s="26">
        <f t="shared" si="7"/>
        <v>0</v>
      </c>
      <c r="Q36" s="3">
        <f>COUNTIFS('Product decisions'!$A$7:$A$32,A36,'Product decisions'!$C$7:$C$32,B36)</f>
        <v>0</v>
      </c>
      <c r="R36" s="3">
        <f>COUNTIFS('Product decisions'!$A$7:$A$32,A36,'Product decisions'!$H$7:$H$32,B36)</f>
        <v>0</v>
      </c>
      <c r="S36" s="3">
        <f>COUNTIFS('Product decisions'!$A$7:$A$32,A36,'Product decisions'!$I$7:$I$32,B36)</f>
        <v>1</v>
      </c>
      <c r="T36" s="3">
        <f>COUNTIFS('Product decisions'!$A$7:$A$32,A36,'Product decisions'!$J$7:$J$32,B36)</f>
        <v>1</v>
      </c>
      <c r="U36" s="26">
        <f t="shared" si="8"/>
        <v>0</v>
      </c>
      <c r="V36" s="3">
        <f>'Source data'!D21</f>
        <v>1</v>
      </c>
      <c r="W36" s="27">
        <f t="shared" si="9"/>
        <v>0.5894628806</v>
      </c>
      <c r="X36" s="27">
        <f t="shared" si="10"/>
        <v>1.435833333</v>
      </c>
    </row>
    <row r="37" ht="33.75" customHeight="1">
      <c r="A37" s="9" t="s">
        <v>98</v>
      </c>
      <c r="B37" s="3" t="s">
        <v>56</v>
      </c>
      <c r="C37" s="3" t="s">
        <v>27</v>
      </c>
      <c r="D37" s="43">
        <f>Assumptions!B36</f>
        <v>9000</v>
      </c>
      <c r="E37" s="44">
        <f>'Source data'!E22</f>
        <v>19.98</v>
      </c>
      <c r="F37" s="44">
        <f>'Source data'!F22</f>
        <v>12</v>
      </c>
      <c r="G37" s="51">
        <f>IF(B37="In-Store",'Source data'!J22+Assumptions!$B$15*'Source data'!K22,'Source data'!K22+Assumptions!$B$15*'Source data'!J22)*'Source data'!H22/'Source data'!G22*Assumptions!B7</f>
        <v>2025</v>
      </c>
      <c r="H37" s="51">
        <f t="shared" si="1"/>
        <v>2025</v>
      </c>
      <c r="I37" s="51">
        <f>(D37-H37)*Assumptions!C7</f>
        <v>6975</v>
      </c>
      <c r="J37" s="51">
        <f t="shared" si="2"/>
        <v>0</v>
      </c>
      <c r="K37" s="26">
        <f>E37*(H37+I37*Assumptions!D7)</f>
        <v>110139.75</v>
      </c>
      <c r="L37" s="26">
        <f t="shared" si="3"/>
        <v>108000</v>
      </c>
      <c r="M37" s="26">
        <f t="shared" si="4"/>
        <v>2139.75</v>
      </c>
      <c r="N37" s="26">
        <f t="shared" si="5"/>
        <v>2139.75</v>
      </c>
      <c r="O37" s="26">
        <f t="shared" si="6"/>
        <v>0</v>
      </c>
      <c r="P37" s="26">
        <f t="shared" si="7"/>
        <v>2139.75</v>
      </c>
      <c r="Q37" s="3">
        <f>COUNTIFS('Product decisions'!$A$7:$A$32,A37,'Product decisions'!$C$7:$C$32,B37)</f>
        <v>0</v>
      </c>
      <c r="R37" s="3">
        <f>COUNTIFS('Product decisions'!$A$7:$A$32,A37,'Product decisions'!$H$7:$H$32,B37)</f>
        <v>0</v>
      </c>
      <c r="S37" s="3">
        <f>COUNTIFS('Product decisions'!$A$7:$A$32,A37,'Product decisions'!$I$7:$I$32,B37)</f>
        <v>0</v>
      </c>
      <c r="T37" s="3">
        <f>COUNTIFS('Product decisions'!$A$7:$A$32,A37,'Product decisions'!$J$7:$J$32,B37)</f>
        <v>0</v>
      </c>
      <c r="U37" s="26">
        <f t="shared" si="8"/>
        <v>0</v>
      </c>
      <c r="V37" s="3">
        <f>'Source data'!D22</f>
        <v>1</v>
      </c>
      <c r="W37" s="27">
        <f t="shared" si="9"/>
        <v>0.01942759086</v>
      </c>
      <c r="X37" s="27">
        <f t="shared" si="10"/>
        <v>0.0198125</v>
      </c>
    </row>
    <row r="38" ht="33.75" customHeight="1">
      <c r="A38" s="9" t="s">
        <v>98</v>
      </c>
      <c r="B38" s="3" t="s">
        <v>80</v>
      </c>
      <c r="C38" s="3" t="s">
        <v>27</v>
      </c>
      <c r="D38" s="43">
        <f>Assumptions!B36</f>
        <v>9000</v>
      </c>
      <c r="E38" s="44">
        <f>'Source data'!E22</f>
        <v>19.98</v>
      </c>
      <c r="F38" s="44">
        <f>'Source data'!F22</f>
        <v>12</v>
      </c>
      <c r="G38" s="51">
        <f>IF(B38="In-Store",'Source data'!J22+Assumptions!$B$15*'Source data'!K22,'Source data'!K22+Assumptions!$B$15*'Source data'!J22)*'Source data'!H22/'Source data'!G22*Assumptions!B7</f>
        <v>4050</v>
      </c>
      <c r="H38" s="51">
        <f t="shared" si="1"/>
        <v>4050</v>
      </c>
      <c r="I38" s="51">
        <f>(D38-H38)*Assumptions!C7</f>
        <v>4950</v>
      </c>
      <c r="J38" s="51">
        <f t="shared" si="2"/>
        <v>0</v>
      </c>
      <c r="K38" s="26">
        <f>E38*(H38+I38*Assumptions!D7)</f>
        <v>130369.5</v>
      </c>
      <c r="L38" s="26">
        <f t="shared" si="3"/>
        <v>108000</v>
      </c>
      <c r="M38" s="26">
        <f t="shared" si="4"/>
        <v>22369.5</v>
      </c>
      <c r="N38" s="26">
        <f t="shared" si="5"/>
        <v>22369.5</v>
      </c>
      <c r="O38" s="26">
        <f t="shared" si="6"/>
        <v>0</v>
      </c>
      <c r="P38" s="26">
        <f t="shared" si="7"/>
        <v>0</v>
      </c>
      <c r="Q38" s="3">
        <f>COUNTIFS('Product decisions'!$A$7:$A$32,A38,'Product decisions'!$C$7:$C$32,B38)</f>
        <v>0</v>
      </c>
      <c r="R38" s="3">
        <f>COUNTIFS('Product decisions'!$A$7:$A$32,A38,'Product decisions'!$H$7:$H$32,B38)</f>
        <v>0</v>
      </c>
      <c r="S38" s="3">
        <f>COUNTIFS('Product decisions'!$A$7:$A$32,A38,'Product decisions'!$I$7:$I$32,B38)</f>
        <v>0</v>
      </c>
      <c r="T38" s="3">
        <f>COUNTIFS('Product decisions'!$A$7:$A$32,A38,'Product decisions'!$J$7:$J$32,B38)</f>
        <v>0</v>
      </c>
      <c r="U38" s="26">
        <f t="shared" si="8"/>
        <v>0</v>
      </c>
      <c r="V38" s="3">
        <f>'Source data'!D22</f>
        <v>1</v>
      </c>
      <c r="W38" s="27">
        <f t="shared" si="9"/>
        <v>0.1715853785</v>
      </c>
      <c r="X38" s="27">
        <f t="shared" si="10"/>
        <v>0.207125</v>
      </c>
    </row>
    <row r="39" ht="33.75" customHeight="1">
      <c r="A39" s="9" t="s">
        <v>102</v>
      </c>
      <c r="B39" s="3" t="s">
        <v>56</v>
      </c>
      <c r="C39" s="3" t="s">
        <v>27</v>
      </c>
      <c r="D39" s="43">
        <f>Assumptions!B37</f>
        <v>45000</v>
      </c>
      <c r="E39" s="44">
        <f>'Source data'!E23</f>
        <v>449</v>
      </c>
      <c r="F39" s="44">
        <f>'Source data'!F23</f>
        <v>240</v>
      </c>
      <c r="G39" s="51">
        <f>'Source data'!G23*Assumptions!$B$13*IF(B39="In-Store",1,Assumptions!$B$14)*Assumptions!B7</f>
        <v>36000</v>
      </c>
      <c r="H39" s="51">
        <f t="shared" si="1"/>
        <v>36000</v>
      </c>
      <c r="I39" s="51">
        <f>(D39-H39)*Assumptions!C7</f>
        <v>9000</v>
      </c>
      <c r="J39" s="51">
        <f t="shared" si="2"/>
        <v>0</v>
      </c>
      <c r="K39" s="26">
        <f>E39*(H39+I39*Assumptions!D7)</f>
        <v>18184500</v>
      </c>
      <c r="L39" s="26">
        <f t="shared" si="3"/>
        <v>10800000</v>
      </c>
      <c r="M39" s="26">
        <f t="shared" si="4"/>
        <v>7384500</v>
      </c>
      <c r="N39" s="26">
        <f t="shared" si="5"/>
        <v>7384500</v>
      </c>
      <c r="O39" s="26">
        <f t="shared" si="6"/>
        <v>0</v>
      </c>
      <c r="P39" s="26">
        <f t="shared" si="7"/>
        <v>1846125</v>
      </c>
      <c r="Q39" s="3">
        <f>COUNTIFS('Product decisions'!$A$7:$A$32,A39,'Product decisions'!$C$7:$C$32,B39)</f>
        <v>0</v>
      </c>
      <c r="R39" s="3">
        <f>COUNTIFS('Product decisions'!$A$7:$A$32,A39,'Product decisions'!$H$7:$H$32,B39)</f>
        <v>1</v>
      </c>
      <c r="S39" s="3">
        <f>COUNTIFS('Product decisions'!$A$7:$A$32,A39,'Product decisions'!$I$7:$I$32,B39)</f>
        <v>0</v>
      </c>
      <c r="T39" s="3">
        <f>COUNTIFS('Product decisions'!$A$7:$A$32,A39,'Product decisions'!$J$7:$J$32,B39)</f>
        <v>0</v>
      </c>
      <c r="U39" s="26">
        <f t="shared" ref="U39:U58" si="11">L39</f>
        <v>10800000</v>
      </c>
      <c r="V39" s="3">
        <f>'Source data'!D23</f>
        <v>4</v>
      </c>
      <c r="W39" s="27">
        <f t="shared" si="9"/>
        <v>0.4060876021</v>
      </c>
      <c r="X39" s="27">
        <f t="shared" si="10"/>
        <v>0.68375</v>
      </c>
    </row>
    <row r="40" ht="33.75" customHeight="1">
      <c r="A40" s="9" t="s">
        <v>102</v>
      </c>
      <c r="B40" s="3" t="s">
        <v>80</v>
      </c>
      <c r="C40" s="3" t="s">
        <v>27</v>
      </c>
      <c r="D40" s="43">
        <f>Assumptions!B37</f>
        <v>45000</v>
      </c>
      <c r="E40" s="44">
        <f>'Source data'!E23</f>
        <v>449</v>
      </c>
      <c r="F40" s="44">
        <f>'Source data'!F23</f>
        <v>240</v>
      </c>
      <c r="G40" s="51">
        <f>'Source data'!G23*Assumptions!$B$13*IF(B40="In-Store",1,Assumptions!$B$14)*Assumptions!B7</f>
        <v>28800</v>
      </c>
      <c r="H40" s="51">
        <f t="shared" si="1"/>
        <v>28800</v>
      </c>
      <c r="I40" s="51">
        <f>(D40-H40)*Assumptions!C7</f>
        <v>16200</v>
      </c>
      <c r="J40" s="51">
        <f t="shared" si="2"/>
        <v>0</v>
      </c>
      <c r="K40" s="26">
        <f>E40*(H40+I40*Assumptions!D7)</f>
        <v>16568100</v>
      </c>
      <c r="L40" s="26">
        <f t="shared" si="3"/>
        <v>10800000</v>
      </c>
      <c r="M40" s="26">
        <f t="shared" si="4"/>
        <v>5768100</v>
      </c>
      <c r="N40" s="26">
        <f t="shared" si="5"/>
        <v>5768100</v>
      </c>
      <c r="O40" s="26">
        <f t="shared" si="6"/>
        <v>0</v>
      </c>
      <c r="P40" s="26">
        <f t="shared" si="7"/>
        <v>0</v>
      </c>
      <c r="Q40" s="3">
        <f>COUNTIFS('Product decisions'!$A$7:$A$32,A40,'Product decisions'!$C$7:$C$32,B40)</f>
        <v>0</v>
      </c>
      <c r="R40" s="3">
        <f>COUNTIFS('Product decisions'!$A$7:$A$32,A40,'Product decisions'!$H$7:$H$32,B40)</f>
        <v>0</v>
      </c>
      <c r="S40" s="3">
        <f>COUNTIFS('Product decisions'!$A$7:$A$32,A40,'Product decisions'!$I$7:$I$32,B40)</f>
        <v>0</v>
      </c>
      <c r="T40" s="3">
        <f>COUNTIFS('Product decisions'!$A$7:$A$32,A40,'Product decisions'!$J$7:$J$32,B40)</f>
        <v>0</v>
      </c>
      <c r="U40" s="26">
        <f t="shared" si="11"/>
        <v>10800000</v>
      </c>
      <c r="V40" s="3">
        <f>'Source data'!D23</f>
        <v>4</v>
      </c>
      <c r="W40" s="27">
        <f t="shared" si="9"/>
        <v>0.3481449291</v>
      </c>
      <c r="X40" s="27">
        <f t="shared" si="10"/>
        <v>0.5340833333</v>
      </c>
    </row>
    <row r="41" ht="33.75" customHeight="1">
      <c r="A41" s="9" t="s">
        <v>106</v>
      </c>
      <c r="B41" s="3" t="s">
        <v>56</v>
      </c>
      <c r="C41" s="3" t="s">
        <v>27</v>
      </c>
      <c r="D41" s="43">
        <f>Assumptions!B38</f>
        <v>14000</v>
      </c>
      <c r="E41" s="44">
        <f>'Source data'!E24</f>
        <v>329</v>
      </c>
      <c r="F41" s="44">
        <f>'Source data'!F24</f>
        <v>215</v>
      </c>
      <c r="G41" s="51">
        <f>'Source data'!G24*Assumptions!$B$13*IF(B41="In-Store",1,Assumptions!$B$14)*Assumptions!B7</f>
        <v>11200</v>
      </c>
      <c r="H41" s="51">
        <f t="shared" si="1"/>
        <v>11200</v>
      </c>
      <c r="I41" s="51">
        <f>(D41-H41)*Assumptions!C7</f>
        <v>2800</v>
      </c>
      <c r="J41" s="51">
        <f t="shared" si="2"/>
        <v>0</v>
      </c>
      <c r="K41" s="26">
        <f>E41*(H41+I41*Assumptions!D7)</f>
        <v>4145400</v>
      </c>
      <c r="L41" s="26">
        <f t="shared" si="3"/>
        <v>3010000</v>
      </c>
      <c r="M41" s="26">
        <f t="shared" si="4"/>
        <v>1135400</v>
      </c>
      <c r="N41" s="26">
        <f t="shared" si="5"/>
        <v>1135400</v>
      </c>
      <c r="O41" s="26">
        <f t="shared" si="6"/>
        <v>0</v>
      </c>
      <c r="P41" s="26">
        <f t="shared" si="7"/>
        <v>567700</v>
      </c>
      <c r="Q41" s="3">
        <f>COUNTIFS('Product decisions'!$A$7:$A$32,A41,'Product decisions'!$C$7:$C$32,B41)</f>
        <v>0</v>
      </c>
      <c r="R41" s="3">
        <f>COUNTIFS('Product decisions'!$A$7:$A$32,A41,'Product decisions'!$H$7:$H$32,B41)</f>
        <v>1</v>
      </c>
      <c r="S41" s="3">
        <f>COUNTIFS('Product decisions'!$A$7:$A$32,A41,'Product decisions'!$I$7:$I$32,B41)</f>
        <v>0</v>
      </c>
      <c r="T41" s="3">
        <f>COUNTIFS('Product decisions'!$A$7:$A$32,A41,'Product decisions'!$J$7:$J$32,B41)</f>
        <v>0</v>
      </c>
      <c r="U41" s="26">
        <f t="shared" si="11"/>
        <v>3010000</v>
      </c>
      <c r="V41" s="3">
        <f>'Source data'!D24</f>
        <v>2</v>
      </c>
      <c r="W41" s="27">
        <f t="shared" si="9"/>
        <v>0.2738939547</v>
      </c>
      <c r="X41" s="27">
        <f t="shared" si="10"/>
        <v>0.3772093023</v>
      </c>
    </row>
    <row r="42" ht="33.75" customHeight="1">
      <c r="A42" s="9" t="s">
        <v>106</v>
      </c>
      <c r="B42" s="3" t="s">
        <v>80</v>
      </c>
      <c r="C42" s="3" t="s">
        <v>27</v>
      </c>
      <c r="D42" s="43">
        <f>Assumptions!B38</f>
        <v>14000</v>
      </c>
      <c r="E42" s="44">
        <f>'Source data'!E24</f>
        <v>329</v>
      </c>
      <c r="F42" s="44">
        <f>'Source data'!F24</f>
        <v>215</v>
      </c>
      <c r="G42" s="51">
        <f>'Source data'!G24*Assumptions!$B$13*IF(B42="In-Store",1,Assumptions!$B$14)*Assumptions!B7</f>
        <v>8960</v>
      </c>
      <c r="H42" s="51">
        <f t="shared" si="1"/>
        <v>8960</v>
      </c>
      <c r="I42" s="51">
        <f>(D42-H42)*Assumptions!C7</f>
        <v>5040</v>
      </c>
      <c r="J42" s="51">
        <f t="shared" si="2"/>
        <v>0</v>
      </c>
      <c r="K42" s="26">
        <f>E42*(H42+I42*Assumptions!D7)</f>
        <v>3776920</v>
      </c>
      <c r="L42" s="26">
        <f t="shared" si="3"/>
        <v>3010000</v>
      </c>
      <c r="M42" s="26">
        <f t="shared" si="4"/>
        <v>766920</v>
      </c>
      <c r="N42" s="26">
        <f t="shared" si="5"/>
        <v>766920</v>
      </c>
      <c r="O42" s="26">
        <f t="shared" si="6"/>
        <v>0</v>
      </c>
      <c r="P42" s="26">
        <f t="shared" si="7"/>
        <v>0</v>
      </c>
      <c r="Q42" s="3">
        <f>COUNTIFS('Product decisions'!$A$7:$A$32,A42,'Product decisions'!$C$7:$C$32,B42)</f>
        <v>0</v>
      </c>
      <c r="R42" s="3">
        <f>COUNTIFS('Product decisions'!$A$7:$A$32,A42,'Product decisions'!$H$7:$H$32,B42)</f>
        <v>0</v>
      </c>
      <c r="S42" s="3">
        <f>COUNTIFS('Product decisions'!$A$7:$A$32,A42,'Product decisions'!$I$7:$I$32,B42)</f>
        <v>0</v>
      </c>
      <c r="T42" s="3">
        <f>COUNTIFS('Product decisions'!$A$7:$A$32,A42,'Product decisions'!$J$7:$J$32,B42)</f>
        <v>0</v>
      </c>
      <c r="U42" s="26">
        <f t="shared" si="11"/>
        <v>3010000</v>
      </c>
      <c r="V42" s="3">
        <f>'Source data'!D24</f>
        <v>2</v>
      </c>
      <c r="W42" s="27">
        <f t="shared" si="9"/>
        <v>0.2030543406</v>
      </c>
      <c r="X42" s="27">
        <f t="shared" si="10"/>
        <v>0.2547906977</v>
      </c>
    </row>
    <row r="43" ht="33.75" customHeight="1">
      <c r="A43" s="9" t="s">
        <v>111</v>
      </c>
      <c r="B43" s="3" t="s">
        <v>56</v>
      </c>
      <c r="C43" s="3" t="s">
        <v>27</v>
      </c>
      <c r="D43" s="43">
        <f>Assumptions!B39</f>
        <v>12000</v>
      </c>
      <c r="E43" s="44">
        <f>'Source data'!E25</f>
        <v>159</v>
      </c>
      <c r="F43" s="44">
        <f>'Source data'!F25</f>
        <v>138</v>
      </c>
      <c r="G43" s="51">
        <f>'Source data'!G25*Assumptions!$B$13*IF(B43="In-Store",1,Assumptions!$B$14)*Assumptions!B7</f>
        <v>9600</v>
      </c>
      <c r="H43" s="51">
        <f t="shared" si="1"/>
        <v>9600</v>
      </c>
      <c r="I43" s="51">
        <f>(D43-H43)*Assumptions!C7</f>
        <v>2400</v>
      </c>
      <c r="J43" s="51">
        <f t="shared" si="2"/>
        <v>0</v>
      </c>
      <c r="K43" s="26">
        <f>E43*(H43+I43*Assumptions!D7)</f>
        <v>1717200</v>
      </c>
      <c r="L43" s="26">
        <f t="shared" si="3"/>
        <v>1656000</v>
      </c>
      <c r="M43" s="26">
        <f t="shared" si="4"/>
        <v>61200</v>
      </c>
      <c r="N43" s="26">
        <f t="shared" si="5"/>
        <v>61200</v>
      </c>
      <c r="O43" s="26">
        <f t="shared" si="6"/>
        <v>0</v>
      </c>
      <c r="P43" s="26">
        <f t="shared" si="7"/>
        <v>30600</v>
      </c>
      <c r="Q43" s="3">
        <f>COUNTIFS('Product decisions'!$A$7:$A$32,A43,'Product decisions'!$C$7:$C$32,B43)</f>
        <v>0</v>
      </c>
      <c r="R43" s="3">
        <f>COUNTIFS('Product decisions'!$A$7:$A$32,A43,'Product decisions'!$H$7:$H$32,B43)</f>
        <v>0</v>
      </c>
      <c r="S43" s="3">
        <f>COUNTIFS('Product decisions'!$A$7:$A$32,A43,'Product decisions'!$I$7:$I$32,B43)</f>
        <v>0</v>
      </c>
      <c r="T43" s="3">
        <f>COUNTIFS('Product decisions'!$A$7:$A$32,A43,'Product decisions'!$J$7:$J$32,B43)</f>
        <v>0</v>
      </c>
      <c r="U43" s="26">
        <f t="shared" si="11"/>
        <v>1656000</v>
      </c>
      <c r="V43" s="3">
        <f>'Source data'!D25</f>
        <v>2</v>
      </c>
      <c r="W43" s="27">
        <f t="shared" si="9"/>
        <v>0.035639413</v>
      </c>
      <c r="X43" s="27">
        <f t="shared" si="10"/>
        <v>0.03695652174</v>
      </c>
    </row>
    <row r="44" ht="33.75" customHeight="1">
      <c r="A44" s="9" t="s">
        <v>111</v>
      </c>
      <c r="B44" s="3" t="s">
        <v>80</v>
      </c>
      <c r="C44" s="3" t="s">
        <v>27</v>
      </c>
      <c r="D44" s="43">
        <f>Assumptions!B39</f>
        <v>12000</v>
      </c>
      <c r="E44" s="44">
        <f>'Source data'!E25</f>
        <v>159</v>
      </c>
      <c r="F44" s="44">
        <f>'Source data'!F25</f>
        <v>138</v>
      </c>
      <c r="G44" s="51">
        <f>'Source data'!G25*Assumptions!$B$13*IF(B44="In-Store",1,Assumptions!$B$14)*Assumptions!B7</f>
        <v>7680</v>
      </c>
      <c r="H44" s="51">
        <f t="shared" si="1"/>
        <v>7680</v>
      </c>
      <c r="I44" s="51">
        <f>(D44-H44)*Assumptions!C7</f>
        <v>4320</v>
      </c>
      <c r="J44" s="51">
        <f t="shared" si="2"/>
        <v>0</v>
      </c>
      <c r="K44" s="26">
        <f>E44*(H44+I44*Assumptions!D7)</f>
        <v>1564560</v>
      </c>
      <c r="L44" s="26">
        <f t="shared" si="3"/>
        <v>1656000</v>
      </c>
      <c r="M44" s="26">
        <f t="shared" si="4"/>
        <v>-91440</v>
      </c>
      <c r="N44" s="26">
        <f t="shared" si="5"/>
        <v>-91440</v>
      </c>
      <c r="O44" s="26">
        <f t="shared" si="6"/>
        <v>0</v>
      </c>
      <c r="P44" s="26">
        <f t="shared" si="7"/>
        <v>0</v>
      </c>
      <c r="Q44" s="3">
        <f>COUNTIFS('Product decisions'!$A$7:$A$32,A44,'Product decisions'!$C$7:$C$32,B44)</f>
        <v>0</v>
      </c>
      <c r="R44" s="3">
        <f>COUNTIFS('Product decisions'!$A$7:$A$32,A44,'Product decisions'!$H$7:$H$32,B44)</f>
        <v>0</v>
      </c>
      <c r="S44" s="3">
        <f>COUNTIFS('Product decisions'!$A$7:$A$32,A44,'Product decisions'!$I$7:$I$32,B44)</f>
        <v>0</v>
      </c>
      <c r="T44" s="3">
        <f>COUNTIFS('Product decisions'!$A$7:$A$32,A44,'Product decisions'!$J$7:$J$32,B44)</f>
        <v>0</v>
      </c>
      <c r="U44" s="26">
        <f t="shared" si="11"/>
        <v>1656000</v>
      </c>
      <c r="V44" s="3">
        <f>'Source data'!D25</f>
        <v>2</v>
      </c>
      <c r="W44" s="27">
        <f t="shared" si="9"/>
        <v>-0.05844454671</v>
      </c>
      <c r="X44" s="27">
        <f t="shared" si="10"/>
        <v>-0.0552173913</v>
      </c>
    </row>
    <row r="45" ht="33.75" customHeight="1">
      <c r="A45" s="9" t="s">
        <v>114</v>
      </c>
      <c r="B45" s="3" t="s">
        <v>56</v>
      </c>
      <c r="C45" s="3" t="s">
        <v>27</v>
      </c>
      <c r="D45" s="43">
        <f>Assumptions!B40</f>
        <v>9000</v>
      </c>
      <c r="E45" s="44">
        <f>'Source data'!E26</f>
        <v>279</v>
      </c>
      <c r="F45" s="44">
        <f>'Source data'!F26</f>
        <v>164</v>
      </c>
      <c r="G45" s="51">
        <f>'Source data'!G26*Assumptions!$B$13*IF(B45="In-Store",1,Assumptions!$B$14)*Assumptions!B7</f>
        <v>7200</v>
      </c>
      <c r="H45" s="51">
        <f t="shared" si="1"/>
        <v>7200</v>
      </c>
      <c r="I45" s="51">
        <f>(D45-H45)*Assumptions!C7</f>
        <v>1800</v>
      </c>
      <c r="J45" s="51">
        <f t="shared" si="2"/>
        <v>0</v>
      </c>
      <c r="K45" s="26">
        <f>E45*(H45+I45*Assumptions!D7)</f>
        <v>2259900</v>
      </c>
      <c r="L45" s="26">
        <f t="shared" si="3"/>
        <v>1476000</v>
      </c>
      <c r="M45" s="26">
        <f t="shared" si="4"/>
        <v>783900</v>
      </c>
      <c r="N45" s="26">
        <f t="shared" si="5"/>
        <v>783900</v>
      </c>
      <c r="O45" s="26">
        <f t="shared" si="6"/>
        <v>0</v>
      </c>
      <c r="P45" s="26">
        <f t="shared" si="7"/>
        <v>391950</v>
      </c>
      <c r="Q45" s="3">
        <f>COUNTIFS('Product decisions'!$A$7:$A$32,A45,'Product decisions'!$C$7:$C$32,B45)</f>
        <v>1</v>
      </c>
      <c r="R45" s="3">
        <f>COUNTIFS('Product decisions'!$A$7:$A$32,A45,'Product decisions'!$H$7:$H$32,B45)</f>
        <v>1</v>
      </c>
      <c r="S45" s="3">
        <f>COUNTIFS('Product decisions'!$A$7:$A$32,A45,'Product decisions'!$I$7:$I$32,B45)</f>
        <v>1</v>
      </c>
      <c r="T45" s="3">
        <f>COUNTIFS('Product decisions'!$A$7:$A$32,A45,'Product decisions'!$J$7:$J$32,B45)</f>
        <v>0</v>
      </c>
      <c r="U45" s="26">
        <f t="shared" si="11"/>
        <v>1476000</v>
      </c>
      <c r="V45" s="3">
        <f>'Source data'!D26</f>
        <v>2</v>
      </c>
      <c r="W45" s="27">
        <f t="shared" si="9"/>
        <v>0.3468737555</v>
      </c>
      <c r="X45" s="27">
        <f t="shared" si="10"/>
        <v>0.531097561</v>
      </c>
    </row>
    <row r="46" ht="33.75" customHeight="1">
      <c r="A46" s="9" t="s">
        <v>114</v>
      </c>
      <c r="B46" s="3" t="s">
        <v>80</v>
      </c>
      <c r="C46" s="3" t="s">
        <v>27</v>
      </c>
      <c r="D46" s="43">
        <f>Assumptions!B40</f>
        <v>9000</v>
      </c>
      <c r="E46" s="44">
        <f>'Source data'!E26</f>
        <v>279</v>
      </c>
      <c r="F46" s="44">
        <f>'Source data'!F26</f>
        <v>164</v>
      </c>
      <c r="G46" s="51">
        <f>'Source data'!G26*Assumptions!$B$13*IF(B46="In-Store",1,Assumptions!$B$14)*Assumptions!B7</f>
        <v>5760</v>
      </c>
      <c r="H46" s="51">
        <f t="shared" si="1"/>
        <v>5760</v>
      </c>
      <c r="I46" s="51">
        <f>(D46-H46)*Assumptions!C7</f>
        <v>3240</v>
      </c>
      <c r="J46" s="51">
        <f t="shared" si="2"/>
        <v>0</v>
      </c>
      <c r="K46" s="26">
        <f>E46*(H46+I46*Assumptions!D7)</f>
        <v>2059020</v>
      </c>
      <c r="L46" s="26">
        <f t="shared" si="3"/>
        <v>1476000</v>
      </c>
      <c r="M46" s="26">
        <f t="shared" si="4"/>
        <v>583020</v>
      </c>
      <c r="N46" s="26">
        <f t="shared" si="5"/>
        <v>583020</v>
      </c>
      <c r="O46" s="26">
        <f t="shared" si="6"/>
        <v>0</v>
      </c>
      <c r="P46" s="26">
        <f t="shared" si="7"/>
        <v>0</v>
      </c>
      <c r="Q46" s="3">
        <f>COUNTIFS('Product decisions'!$A$7:$A$32,A46,'Product decisions'!$C$7:$C$32,B46)</f>
        <v>0</v>
      </c>
      <c r="R46" s="3">
        <f>COUNTIFS('Product decisions'!$A$7:$A$32,A46,'Product decisions'!$H$7:$H$32,B46)</f>
        <v>0</v>
      </c>
      <c r="S46" s="3">
        <f>COUNTIFS('Product decisions'!$A$7:$A$32,A46,'Product decisions'!$I$7:$I$32,B46)</f>
        <v>0</v>
      </c>
      <c r="T46" s="3">
        <f>COUNTIFS('Product decisions'!$A$7:$A$32,A46,'Product decisions'!$J$7:$J$32,B46)</f>
        <v>0</v>
      </c>
      <c r="U46" s="26">
        <f t="shared" si="11"/>
        <v>1476000</v>
      </c>
      <c r="V46" s="3">
        <f>'Source data'!D26</f>
        <v>2</v>
      </c>
      <c r="W46" s="27">
        <f t="shared" si="9"/>
        <v>0.2831541219</v>
      </c>
      <c r="X46" s="27">
        <f t="shared" si="10"/>
        <v>0.395</v>
      </c>
    </row>
    <row r="47" ht="33.75" customHeight="1">
      <c r="A47" s="9" t="s">
        <v>118</v>
      </c>
      <c r="B47" s="3" t="s">
        <v>56</v>
      </c>
      <c r="C47" s="3" t="s">
        <v>27</v>
      </c>
      <c r="D47" s="43">
        <f>Assumptions!B41</f>
        <v>16000</v>
      </c>
      <c r="E47" s="44">
        <f>'Source data'!E27</f>
        <v>79</v>
      </c>
      <c r="F47" s="44">
        <f>'Source data'!F27</f>
        <v>40</v>
      </c>
      <c r="G47" s="51">
        <f>'Source data'!G27*Assumptions!$B$13*IF(B47="In-Store",1,Assumptions!$B$14)*Assumptions!B7</f>
        <v>12800</v>
      </c>
      <c r="H47" s="51">
        <f t="shared" si="1"/>
        <v>12800</v>
      </c>
      <c r="I47" s="51">
        <f>(D47-H47)*Assumptions!C7</f>
        <v>3200</v>
      </c>
      <c r="J47" s="51">
        <f t="shared" si="2"/>
        <v>0</v>
      </c>
      <c r="K47" s="26">
        <f>E47*(H47+I47*Assumptions!D7)</f>
        <v>1137600</v>
      </c>
      <c r="L47" s="26">
        <f t="shared" si="3"/>
        <v>640000</v>
      </c>
      <c r="M47" s="26">
        <f t="shared" si="4"/>
        <v>497600</v>
      </c>
      <c r="N47" s="26">
        <f t="shared" si="5"/>
        <v>497600</v>
      </c>
      <c r="O47" s="26">
        <f t="shared" si="6"/>
        <v>0</v>
      </c>
      <c r="P47" s="26">
        <f t="shared" si="7"/>
        <v>497600</v>
      </c>
      <c r="Q47" s="3">
        <f>COUNTIFS('Product decisions'!$A$7:$A$32,A47,'Product decisions'!$C$7:$C$32,B47)</f>
        <v>1</v>
      </c>
      <c r="R47" s="3">
        <f>COUNTIFS('Product decisions'!$A$7:$A$32,A47,'Product decisions'!$H$7:$H$32,B47)</f>
        <v>1</v>
      </c>
      <c r="S47" s="3">
        <f>COUNTIFS('Product decisions'!$A$7:$A$32,A47,'Product decisions'!$I$7:$I$32,B47)</f>
        <v>1</v>
      </c>
      <c r="T47" s="3">
        <f>COUNTIFS('Product decisions'!$A$7:$A$32,A47,'Product decisions'!$J$7:$J$32,B47)</f>
        <v>1</v>
      </c>
      <c r="U47" s="26">
        <f t="shared" si="11"/>
        <v>640000</v>
      </c>
      <c r="V47" s="3">
        <f>'Source data'!D27</f>
        <v>1</v>
      </c>
      <c r="W47" s="27">
        <f t="shared" si="9"/>
        <v>0.4374120956</v>
      </c>
      <c r="X47" s="27">
        <f t="shared" si="10"/>
        <v>0.7775</v>
      </c>
    </row>
    <row r="48" ht="33.75" customHeight="1">
      <c r="A48" s="9" t="s">
        <v>118</v>
      </c>
      <c r="B48" s="3" t="s">
        <v>80</v>
      </c>
      <c r="C48" s="3" t="s">
        <v>27</v>
      </c>
      <c r="D48" s="43">
        <f>Assumptions!B41</f>
        <v>16000</v>
      </c>
      <c r="E48" s="44">
        <f>'Source data'!E27</f>
        <v>79</v>
      </c>
      <c r="F48" s="44">
        <f>'Source data'!F27</f>
        <v>40</v>
      </c>
      <c r="G48" s="51">
        <f>'Source data'!G27*Assumptions!$B$13*IF(B48="In-Store",1,Assumptions!$B$14)*Assumptions!B7</f>
        <v>10240</v>
      </c>
      <c r="H48" s="51">
        <f t="shared" si="1"/>
        <v>10240</v>
      </c>
      <c r="I48" s="51">
        <f>(D48-H48)*Assumptions!C7</f>
        <v>5760</v>
      </c>
      <c r="J48" s="51">
        <f t="shared" si="2"/>
        <v>0</v>
      </c>
      <c r="K48" s="26">
        <f>E48*(H48+I48*Assumptions!D7)</f>
        <v>1036480</v>
      </c>
      <c r="L48" s="26">
        <f t="shared" si="3"/>
        <v>640000</v>
      </c>
      <c r="M48" s="26">
        <f t="shared" si="4"/>
        <v>396480</v>
      </c>
      <c r="N48" s="26">
        <f t="shared" si="5"/>
        <v>396480</v>
      </c>
      <c r="O48" s="26">
        <f t="shared" si="6"/>
        <v>0</v>
      </c>
      <c r="P48" s="26">
        <f t="shared" si="7"/>
        <v>0</v>
      </c>
      <c r="Q48" s="3">
        <f>COUNTIFS('Product decisions'!$A$7:$A$32,A48,'Product decisions'!$C$7:$C$32,B48)</f>
        <v>0</v>
      </c>
      <c r="R48" s="3">
        <f>COUNTIFS('Product decisions'!$A$7:$A$32,A48,'Product decisions'!$H$7:$H$32,B48)</f>
        <v>0</v>
      </c>
      <c r="S48" s="3">
        <f>COUNTIFS('Product decisions'!$A$7:$A$32,A48,'Product decisions'!$I$7:$I$32,B48)</f>
        <v>0</v>
      </c>
      <c r="T48" s="3">
        <f>COUNTIFS('Product decisions'!$A$7:$A$32,A48,'Product decisions'!$J$7:$J$32,B48)</f>
        <v>0</v>
      </c>
      <c r="U48" s="26">
        <f t="shared" si="11"/>
        <v>640000</v>
      </c>
      <c r="V48" s="3">
        <f>'Source data'!D27</f>
        <v>1</v>
      </c>
      <c r="W48" s="27">
        <f t="shared" si="9"/>
        <v>0.3825254708</v>
      </c>
      <c r="X48" s="27">
        <f t="shared" si="10"/>
        <v>0.6195</v>
      </c>
    </row>
    <row r="49" ht="33.75" customHeight="1">
      <c r="A49" s="9" t="s">
        <v>123</v>
      </c>
      <c r="B49" s="3" t="s">
        <v>56</v>
      </c>
      <c r="C49" s="3" t="s">
        <v>27</v>
      </c>
      <c r="D49" s="43">
        <f>Assumptions!B42</f>
        <v>7000</v>
      </c>
      <c r="E49" s="44">
        <f>'Source data'!E28</f>
        <v>179</v>
      </c>
      <c r="F49" s="44">
        <f>'Source data'!F28</f>
        <v>88</v>
      </c>
      <c r="G49" s="51">
        <f>'Source data'!G28*Assumptions!$B$13*IF(B49="In-Store",1,Assumptions!$B$14)*Assumptions!B7</f>
        <v>5600</v>
      </c>
      <c r="H49" s="51">
        <f t="shared" si="1"/>
        <v>5600</v>
      </c>
      <c r="I49" s="51">
        <f>(D49-H49)*Assumptions!C7</f>
        <v>1400</v>
      </c>
      <c r="J49" s="51">
        <f t="shared" si="2"/>
        <v>0</v>
      </c>
      <c r="K49" s="26">
        <f>E49*(H49+I49*Assumptions!D7)</f>
        <v>1127700</v>
      </c>
      <c r="L49" s="26">
        <f t="shared" si="3"/>
        <v>616000</v>
      </c>
      <c r="M49" s="26">
        <f t="shared" si="4"/>
        <v>511700</v>
      </c>
      <c r="N49" s="26">
        <f t="shared" si="5"/>
        <v>511700</v>
      </c>
      <c r="O49" s="26">
        <f t="shared" si="6"/>
        <v>0</v>
      </c>
      <c r="P49" s="26">
        <f t="shared" si="7"/>
        <v>255850</v>
      </c>
      <c r="Q49" s="3">
        <f>COUNTIFS('Product decisions'!$A$7:$A$32,A49,'Product decisions'!$C$7:$C$32,B49)</f>
        <v>0</v>
      </c>
      <c r="R49" s="3">
        <f>COUNTIFS('Product decisions'!$A$7:$A$32,A49,'Product decisions'!$H$7:$H$32,B49)</f>
        <v>0</v>
      </c>
      <c r="S49" s="3">
        <f>COUNTIFS('Product decisions'!$A$7:$A$32,A49,'Product decisions'!$I$7:$I$32,B49)</f>
        <v>1</v>
      </c>
      <c r="T49" s="3">
        <f>COUNTIFS('Product decisions'!$A$7:$A$32,A49,'Product decisions'!$J$7:$J$32,B49)</f>
        <v>1</v>
      </c>
      <c r="U49" s="26">
        <f t="shared" si="11"/>
        <v>616000</v>
      </c>
      <c r="V49" s="3">
        <f>'Source data'!D28</f>
        <v>2</v>
      </c>
      <c r="W49" s="27">
        <f t="shared" si="9"/>
        <v>0.4537554314</v>
      </c>
      <c r="X49" s="27">
        <f t="shared" si="10"/>
        <v>0.8306818182</v>
      </c>
    </row>
    <row r="50" ht="33.75" customHeight="1">
      <c r="A50" s="9" t="s">
        <v>123</v>
      </c>
      <c r="B50" s="3" t="s">
        <v>80</v>
      </c>
      <c r="C50" s="3" t="s">
        <v>27</v>
      </c>
      <c r="D50" s="43">
        <f>Assumptions!B42</f>
        <v>7000</v>
      </c>
      <c r="E50" s="44">
        <f>'Source data'!E28</f>
        <v>179</v>
      </c>
      <c r="F50" s="44">
        <f>'Source data'!F28</f>
        <v>88</v>
      </c>
      <c r="G50" s="51">
        <f>'Source data'!G28*Assumptions!$B$13*IF(B50="In-Store",1,Assumptions!$B$14)*Assumptions!B7</f>
        <v>4480</v>
      </c>
      <c r="H50" s="51">
        <f t="shared" si="1"/>
        <v>4480</v>
      </c>
      <c r="I50" s="51">
        <f>(D50-H50)*Assumptions!C7</f>
        <v>2520</v>
      </c>
      <c r="J50" s="51">
        <f t="shared" si="2"/>
        <v>0</v>
      </c>
      <c r="K50" s="26">
        <f>E50*(H50+I50*Assumptions!D7)</f>
        <v>1027460</v>
      </c>
      <c r="L50" s="26">
        <f t="shared" si="3"/>
        <v>616000</v>
      </c>
      <c r="M50" s="26">
        <f t="shared" si="4"/>
        <v>411460</v>
      </c>
      <c r="N50" s="26">
        <f t="shared" si="5"/>
        <v>411460</v>
      </c>
      <c r="O50" s="26">
        <f t="shared" si="6"/>
        <v>0</v>
      </c>
      <c r="P50" s="26">
        <f t="shared" si="7"/>
        <v>0</v>
      </c>
      <c r="Q50" s="3">
        <f>COUNTIFS('Product decisions'!$A$7:$A$32,A50,'Product decisions'!$C$7:$C$32,B50)</f>
        <v>1</v>
      </c>
      <c r="R50" s="3">
        <f>COUNTIFS('Product decisions'!$A$7:$A$32,A50,'Product decisions'!$H$7:$H$32,B50)</f>
        <v>0</v>
      </c>
      <c r="S50" s="3">
        <f>COUNTIFS('Product decisions'!$A$7:$A$32,A50,'Product decisions'!$I$7:$I$32,B50)</f>
        <v>0</v>
      </c>
      <c r="T50" s="3">
        <f>COUNTIFS('Product decisions'!$A$7:$A$32,A50,'Product decisions'!$J$7:$J$32,B50)</f>
        <v>0</v>
      </c>
      <c r="U50" s="26">
        <f t="shared" si="11"/>
        <v>616000</v>
      </c>
      <c r="V50" s="3">
        <f>'Source data'!D28</f>
        <v>2</v>
      </c>
      <c r="W50" s="27">
        <f t="shared" si="9"/>
        <v>0.4004632784</v>
      </c>
      <c r="X50" s="27">
        <f t="shared" si="10"/>
        <v>0.6679545455</v>
      </c>
    </row>
    <row r="51" ht="33.75" customHeight="1">
      <c r="A51" s="9" t="s">
        <v>127</v>
      </c>
      <c r="B51" s="3" t="s">
        <v>56</v>
      </c>
      <c r="C51" s="3" t="s">
        <v>27</v>
      </c>
      <c r="D51" s="43">
        <f>Assumptions!B43</f>
        <v>20000</v>
      </c>
      <c r="E51" s="44">
        <f>'Source data'!E29</f>
        <v>89</v>
      </c>
      <c r="F51" s="44">
        <f>'Source data'!F29</f>
        <v>52</v>
      </c>
      <c r="G51" s="51">
        <f>'Source data'!G29*Assumptions!$B$13*IF(B51="In-Store",1,Assumptions!$B$14)*Assumptions!B7</f>
        <v>16000</v>
      </c>
      <c r="H51" s="51">
        <f t="shared" si="1"/>
        <v>16000</v>
      </c>
      <c r="I51" s="51">
        <f>(D51-H51)*Assumptions!C7</f>
        <v>4000</v>
      </c>
      <c r="J51" s="51">
        <f t="shared" si="2"/>
        <v>0</v>
      </c>
      <c r="K51" s="26">
        <f>E51*(H51+I51*Assumptions!D7)</f>
        <v>1602000</v>
      </c>
      <c r="L51" s="26">
        <f t="shared" si="3"/>
        <v>1040000</v>
      </c>
      <c r="M51" s="26">
        <f t="shared" si="4"/>
        <v>562000</v>
      </c>
      <c r="N51" s="26">
        <f t="shared" si="5"/>
        <v>562000</v>
      </c>
      <c r="O51" s="26">
        <f t="shared" si="6"/>
        <v>0</v>
      </c>
      <c r="P51" s="26">
        <f t="shared" si="7"/>
        <v>562000</v>
      </c>
      <c r="Q51" s="3">
        <f>COUNTIFS('Product decisions'!$A$7:$A$32,A51,'Product decisions'!$C$7:$C$32,B51)</f>
        <v>0</v>
      </c>
      <c r="R51" s="3">
        <f>COUNTIFS('Product decisions'!$A$7:$A$32,A51,'Product decisions'!$H$7:$H$32,B51)</f>
        <v>1</v>
      </c>
      <c r="S51" s="3">
        <f>COUNTIFS('Product decisions'!$A$7:$A$32,A51,'Product decisions'!$I$7:$I$32,B51)</f>
        <v>0</v>
      </c>
      <c r="T51" s="3">
        <f>COUNTIFS('Product decisions'!$A$7:$A$32,A51,'Product decisions'!$J$7:$J$32,B51)</f>
        <v>0</v>
      </c>
      <c r="U51" s="26">
        <f t="shared" si="11"/>
        <v>1040000</v>
      </c>
      <c r="V51" s="3">
        <f>'Source data'!D29</f>
        <v>1</v>
      </c>
      <c r="W51" s="27">
        <f t="shared" si="9"/>
        <v>0.3508114856</v>
      </c>
      <c r="X51" s="27">
        <f t="shared" si="10"/>
        <v>0.5403846154</v>
      </c>
    </row>
    <row r="52" ht="33.75" customHeight="1">
      <c r="A52" s="9" t="s">
        <v>127</v>
      </c>
      <c r="B52" s="3" t="s">
        <v>80</v>
      </c>
      <c r="C52" s="3" t="s">
        <v>27</v>
      </c>
      <c r="D52" s="43">
        <f>Assumptions!B43</f>
        <v>20000</v>
      </c>
      <c r="E52" s="44">
        <f>'Source data'!E29</f>
        <v>89</v>
      </c>
      <c r="F52" s="44">
        <f>'Source data'!F29</f>
        <v>52</v>
      </c>
      <c r="G52" s="51">
        <f>'Source data'!G29*Assumptions!$B$13*IF(B52="In-Store",1,Assumptions!$B$14)*Assumptions!B7</f>
        <v>12800</v>
      </c>
      <c r="H52" s="51">
        <f t="shared" si="1"/>
        <v>12800</v>
      </c>
      <c r="I52" s="51">
        <f>(D52-H52)*Assumptions!C7</f>
        <v>7200</v>
      </c>
      <c r="J52" s="51">
        <f t="shared" si="2"/>
        <v>0</v>
      </c>
      <c r="K52" s="26">
        <f>E52*(H52+I52*Assumptions!D7)</f>
        <v>1459600</v>
      </c>
      <c r="L52" s="26">
        <f t="shared" si="3"/>
        <v>1040000</v>
      </c>
      <c r="M52" s="26">
        <f t="shared" si="4"/>
        <v>419600</v>
      </c>
      <c r="N52" s="26">
        <f t="shared" si="5"/>
        <v>419600</v>
      </c>
      <c r="O52" s="26">
        <f t="shared" si="6"/>
        <v>0</v>
      </c>
      <c r="P52" s="26">
        <f t="shared" si="7"/>
        <v>0</v>
      </c>
      <c r="Q52" s="3">
        <f>COUNTIFS('Product decisions'!$A$7:$A$32,A52,'Product decisions'!$C$7:$C$32,B52)</f>
        <v>0</v>
      </c>
      <c r="R52" s="3">
        <f>COUNTIFS('Product decisions'!$A$7:$A$32,A52,'Product decisions'!$H$7:$H$32,B52)</f>
        <v>0</v>
      </c>
      <c r="S52" s="3">
        <f>COUNTIFS('Product decisions'!$A$7:$A$32,A52,'Product decisions'!$I$7:$I$32,B52)</f>
        <v>0</v>
      </c>
      <c r="T52" s="3">
        <f>COUNTIFS('Product decisions'!$A$7:$A$32,A52,'Product decisions'!$J$7:$J$32,B52)</f>
        <v>0</v>
      </c>
      <c r="U52" s="26">
        <f t="shared" si="11"/>
        <v>1040000</v>
      </c>
      <c r="V52" s="3">
        <f>'Source data'!D29</f>
        <v>1</v>
      </c>
      <c r="W52" s="27">
        <f t="shared" si="9"/>
        <v>0.2874760208</v>
      </c>
      <c r="X52" s="27">
        <f t="shared" si="10"/>
        <v>0.4034615385</v>
      </c>
    </row>
    <row r="53" ht="33.75" customHeight="1">
      <c r="A53" s="9" t="s">
        <v>128</v>
      </c>
      <c r="B53" s="3" t="s">
        <v>56</v>
      </c>
      <c r="C53" s="3" t="s">
        <v>27</v>
      </c>
      <c r="D53" s="43">
        <f>Assumptions!B44</f>
        <v>9000</v>
      </c>
      <c r="E53" s="44">
        <f>'Source data'!E30</f>
        <v>39.98</v>
      </c>
      <c r="F53" s="44">
        <f>'Source data'!F30</f>
        <v>7</v>
      </c>
      <c r="G53" s="51">
        <f>'Source data'!G30*Assumptions!$B$13*IF(B53="In-Store",1,Assumptions!$B$14)*Assumptions!B7</f>
        <v>7200</v>
      </c>
      <c r="H53" s="51">
        <f t="shared" si="1"/>
        <v>7200</v>
      </c>
      <c r="I53" s="51">
        <f>(D53-H53)*Assumptions!C7</f>
        <v>1800</v>
      </c>
      <c r="J53" s="51">
        <f t="shared" si="2"/>
        <v>0</v>
      </c>
      <c r="K53" s="26">
        <f>E53*(H53+I53*Assumptions!D7)</f>
        <v>323838</v>
      </c>
      <c r="L53" s="26">
        <f t="shared" si="3"/>
        <v>63000</v>
      </c>
      <c r="M53" s="26">
        <f t="shared" si="4"/>
        <v>260838</v>
      </c>
      <c r="N53" s="26">
        <f t="shared" si="5"/>
        <v>260838</v>
      </c>
      <c r="O53" s="26">
        <f t="shared" si="6"/>
        <v>0</v>
      </c>
      <c r="P53" s="26">
        <f t="shared" si="7"/>
        <v>260838</v>
      </c>
      <c r="Q53" s="3">
        <f>COUNTIFS('Product decisions'!$A$7:$A$32,A53,'Product decisions'!$C$7:$C$32,B53)</f>
        <v>1</v>
      </c>
      <c r="R53" s="3">
        <f>COUNTIFS('Product decisions'!$A$7:$A$32,A53,'Product decisions'!$H$7:$H$32,B53)</f>
        <v>0</v>
      </c>
      <c r="S53" s="3">
        <f>COUNTIFS('Product decisions'!$A$7:$A$32,A53,'Product decisions'!$I$7:$I$32,B53)</f>
        <v>1</v>
      </c>
      <c r="T53" s="3">
        <f>COUNTIFS('Product decisions'!$A$7:$A$32,A53,'Product decisions'!$J$7:$J$32,B53)</f>
        <v>1</v>
      </c>
      <c r="U53" s="26">
        <f t="shared" si="11"/>
        <v>63000</v>
      </c>
      <c r="V53" s="3">
        <f>'Source data'!D30</f>
        <v>1</v>
      </c>
      <c r="W53" s="27">
        <f t="shared" si="9"/>
        <v>0.8054582847</v>
      </c>
      <c r="X53" s="27">
        <f t="shared" si="10"/>
        <v>4.140285714</v>
      </c>
    </row>
    <row r="54" ht="33.75" customHeight="1">
      <c r="A54" s="9" t="s">
        <v>128</v>
      </c>
      <c r="B54" s="3" t="s">
        <v>80</v>
      </c>
      <c r="C54" s="3" t="s">
        <v>27</v>
      </c>
      <c r="D54" s="43">
        <f>Assumptions!B44</f>
        <v>9000</v>
      </c>
      <c r="E54" s="44">
        <f>'Source data'!E30</f>
        <v>39.98</v>
      </c>
      <c r="F54" s="44">
        <f>'Source data'!F30</f>
        <v>7</v>
      </c>
      <c r="G54" s="51">
        <f>'Source data'!G30*Assumptions!$B$13*IF(B54="In-Store",1,Assumptions!$B$14)*Assumptions!B7</f>
        <v>5760</v>
      </c>
      <c r="H54" s="51">
        <f t="shared" si="1"/>
        <v>5760</v>
      </c>
      <c r="I54" s="51">
        <f>(D54-H54)*Assumptions!C7</f>
        <v>3240</v>
      </c>
      <c r="J54" s="51">
        <f t="shared" si="2"/>
        <v>0</v>
      </c>
      <c r="K54" s="26">
        <f>E54*(H54+I54*Assumptions!D7)</f>
        <v>295052.4</v>
      </c>
      <c r="L54" s="26">
        <f t="shared" si="3"/>
        <v>63000</v>
      </c>
      <c r="M54" s="26">
        <f t="shared" si="4"/>
        <v>232052.4</v>
      </c>
      <c r="N54" s="26">
        <f t="shared" si="5"/>
        <v>232052.4</v>
      </c>
      <c r="O54" s="26">
        <f t="shared" si="6"/>
        <v>0</v>
      </c>
      <c r="P54" s="26">
        <f t="shared" si="7"/>
        <v>0</v>
      </c>
      <c r="Q54" s="3">
        <f>COUNTIFS('Product decisions'!$A$7:$A$32,A54,'Product decisions'!$C$7:$C$32,B54)</f>
        <v>0</v>
      </c>
      <c r="R54" s="3">
        <f>COUNTIFS('Product decisions'!$A$7:$A$32,A54,'Product decisions'!$H$7:$H$32,B54)</f>
        <v>0</v>
      </c>
      <c r="S54" s="3">
        <f>COUNTIFS('Product decisions'!$A$7:$A$32,A54,'Product decisions'!$I$7:$I$32,B54)</f>
        <v>0</v>
      </c>
      <c r="T54" s="3">
        <f>COUNTIFS('Product decisions'!$A$7:$A$32,A54,'Product decisions'!$J$7:$J$32,B54)</f>
        <v>0</v>
      </c>
      <c r="U54" s="26">
        <f t="shared" si="11"/>
        <v>63000</v>
      </c>
      <c r="V54" s="3">
        <f>'Source data'!D30</f>
        <v>1</v>
      </c>
      <c r="W54" s="27">
        <f t="shared" si="9"/>
        <v>0.7864786052</v>
      </c>
      <c r="X54" s="27">
        <f t="shared" si="10"/>
        <v>3.683371429</v>
      </c>
    </row>
    <row r="55" ht="33.75" customHeight="1">
      <c r="A55" s="9" t="s">
        <v>130</v>
      </c>
      <c r="B55" s="3" t="s">
        <v>56</v>
      </c>
      <c r="C55" s="3" t="s">
        <v>27</v>
      </c>
      <c r="D55" s="43">
        <f>Assumptions!B45</f>
        <v>12000</v>
      </c>
      <c r="E55" s="44">
        <f>'Source data'!E31</f>
        <v>44.98</v>
      </c>
      <c r="F55" s="44">
        <f>'Source data'!F31</f>
        <v>16</v>
      </c>
      <c r="G55" s="51">
        <f>'Source data'!G31*Assumptions!$B$13*IF(B55="In-Store",1,Assumptions!$B$14)*Assumptions!B7</f>
        <v>9600</v>
      </c>
      <c r="H55" s="51">
        <f t="shared" si="1"/>
        <v>9600</v>
      </c>
      <c r="I55" s="51">
        <f>(D55-H55)*Assumptions!C7</f>
        <v>2400</v>
      </c>
      <c r="J55" s="51">
        <f t="shared" si="2"/>
        <v>0</v>
      </c>
      <c r="K55" s="26">
        <f>E55*(H55+I55*Assumptions!D7)</f>
        <v>485784</v>
      </c>
      <c r="L55" s="26">
        <f t="shared" si="3"/>
        <v>192000</v>
      </c>
      <c r="M55" s="26">
        <f t="shared" si="4"/>
        <v>293784</v>
      </c>
      <c r="N55" s="26">
        <f t="shared" si="5"/>
        <v>293784</v>
      </c>
      <c r="O55" s="26">
        <f t="shared" si="6"/>
        <v>0</v>
      </c>
      <c r="P55" s="26">
        <f t="shared" si="7"/>
        <v>293784</v>
      </c>
      <c r="Q55" s="3">
        <f>COUNTIFS('Product decisions'!$A$7:$A$32,A55,'Product decisions'!$C$7:$C$32,B55)</f>
        <v>1</v>
      </c>
      <c r="R55" s="3">
        <f>COUNTIFS('Product decisions'!$A$7:$A$32,A55,'Product decisions'!$H$7:$H$32,B55)</f>
        <v>0</v>
      </c>
      <c r="S55" s="3">
        <f>COUNTIFS('Product decisions'!$A$7:$A$32,A55,'Product decisions'!$I$7:$I$32,B55)</f>
        <v>1</v>
      </c>
      <c r="T55" s="3">
        <f>COUNTIFS('Product decisions'!$A$7:$A$32,A55,'Product decisions'!$J$7:$J$32,B55)</f>
        <v>1</v>
      </c>
      <c r="U55" s="26">
        <f t="shared" si="11"/>
        <v>192000</v>
      </c>
      <c r="V55" s="3">
        <f>'Source data'!D31</f>
        <v>1</v>
      </c>
      <c r="W55" s="27">
        <f t="shared" si="9"/>
        <v>0.6047626105</v>
      </c>
      <c r="X55" s="27">
        <f t="shared" si="10"/>
        <v>1.530125</v>
      </c>
    </row>
    <row r="56" ht="33.75" customHeight="1">
      <c r="A56" s="9" t="s">
        <v>130</v>
      </c>
      <c r="B56" s="3" t="s">
        <v>80</v>
      </c>
      <c r="C56" s="3" t="s">
        <v>27</v>
      </c>
      <c r="D56" s="43">
        <f>Assumptions!B45</f>
        <v>12000</v>
      </c>
      <c r="E56" s="44">
        <f>'Source data'!E31</f>
        <v>44.98</v>
      </c>
      <c r="F56" s="44">
        <f>'Source data'!F31</f>
        <v>16</v>
      </c>
      <c r="G56" s="51">
        <f>'Source data'!G31*Assumptions!$B$13*IF(B56="In-Store",1,Assumptions!$B$14)*Assumptions!B7</f>
        <v>7680</v>
      </c>
      <c r="H56" s="51">
        <f t="shared" si="1"/>
        <v>7680</v>
      </c>
      <c r="I56" s="51">
        <f>(D56-H56)*Assumptions!C7</f>
        <v>4320</v>
      </c>
      <c r="J56" s="51">
        <f t="shared" si="2"/>
        <v>0</v>
      </c>
      <c r="K56" s="26">
        <f>E56*(H56+I56*Assumptions!D7)</f>
        <v>442603.2</v>
      </c>
      <c r="L56" s="26">
        <f t="shared" si="3"/>
        <v>192000</v>
      </c>
      <c r="M56" s="26">
        <f t="shared" si="4"/>
        <v>250603.2</v>
      </c>
      <c r="N56" s="26">
        <f t="shared" si="5"/>
        <v>250603.2</v>
      </c>
      <c r="O56" s="26">
        <f t="shared" si="6"/>
        <v>0</v>
      </c>
      <c r="P56" s="26">
        <f t="shared" si="7"/>
        <v>0</v>
      </c>
      <c r="Q56" s="3">
        <f>COUNTIFS('Product decisions'!$A$7:$A$32,A56,'Product decisions'!$C$7:$C$32,B56)</f>
        <v>0</v>
      </c>
      <c r="R56" s="3">
        <f>COUNTIFS('Product decisions'!$A$7:$A$32,A56,'Product decisions'!$H$7:$H$32,B56)</f>
        <v>0</v>
      </c>
      <c r="S56" s="3">
        <f>COUNTIFS('Product decisions'!$A$7:$A$32,A56,'Product decisions'!$I$7:$I$32,B56)</f>
        <v>0</v>
      </c>
      <c r="T56" s="3">
        <f>COUNTIFS('Product decisions'!$A$7:$A$32,A56,'Product decisions'!$J$7:$J$32,B56)</f>
        <v>0</v>
      </c>
      <c r="U56" s="26">
        <f t="shared" si="11"/>
        <v>192000</v>
      </c>
      <c r="V56" s="3">
        <f>'Source data'!D31</f>
        <v>1</v>
      </c>
      <c r="W56" s="27">
        <f t="shared" si="9"/>
        <v>0.5662028652</v>
      </c>
      <c r="X56" s="27">
        <f t="shared" si="10"/>
        <v>1.305225</v>
      </c>
    </row>
    <row r="57" ht="33.75" customHeight="1">
      <c r="A57" s="9" t="s">
        <v>131</v>
      </c>
      <c r="B57" s="3" t="s">
        <v>56</v>
      </c>
      <c r="C57" s="3" t="s">
        <v>27</v>
      </c>
      <c r="D57" s="43">
        <f>Assumptions!B46</f>
        <v>22000</v>
      </c>
      <c r="E57" s="44">
        <f>'Source data'!E32</f>
        <v>29.98</v>
      </c>
      <c r="F57" s="44">
        <f>'Source data'!F32</f>
        <v>9</v>
      </c>
      <c r="G57" s="51">
        <f>'Source data'!G32*Assumptions!$B$13*IF(B57="In-Store",1,Assumptions!$B$14)*Assumptions!B7</f>
        <v>17600</v>
      </c>
      <c r="H57" s="51">
        <f t="shared" si="1"/>
        <v>17600</v>
      </c>
      <c r="I57" s="51">
        <f>(D57-H57)*Assumptions!C7</f>
        <v>4400</v>
      </c>
      <c r="J57" s="51">
        <f t="shared" si="2"/>
        <v>0</v>
      </c>
      <c r="K57" s="26">
        <f>E57*(H57+I57*Assumptions!D7)</f>
        <v>593604</v>
      </c>
      <c r="L57" s="26">
        <f t="shared" si="3"/>
        <v>198000</v>
      </c>
      <c r="M57" s="26">
        <f t="shared" si="4"/>
        <v>395604</v>
      </c>
      <c r="N57" s="26">
        <f t="shared" si="5"/>
        <v>395604</v>
      </c>
      <c r="O57" s="26">
        <f t="shared" si="6"/>
        <v>0</v>
      </c>
      <c r="P57" s="26">
        <f t="shared" si="7"/>
        <v>395604</v>
      </c>
      <c r="Q57" s="3">
        <f>COUNTIFS('Product decisions'!$A$7:$A$32,A57,'Product decisions'!$C$7:$C$32,B57)</f>
        <v>1</v>
      </c>
      <c r="R57" s="3">
        <f>COUNTIFS('Product decisions'!$A$7:$A$32,A57,'Product decisions'!$H$7:$H$32,B57)</f>
        <v>1</v>
      </c>
      <c r="S57" s="3">
        <f>COUNTIFS('Product decisions'!$A$7:$A$32,A57,'Product decisions'!$I$7:$I$32,B57)</f>
        <v>1</v>
      </c>
      <c r="T57" s="3">
        <f>COUNTIFS('Product decisions'!$A$7:$A$32,A57,'Product decisions'!$J$7:$J$32,B57)</f>
        <v>1</v>
      </c>
      <c r="U57" s="26">
        <f t="shared" si="11"/>
        <v>198000</v>
      </c>
      <c r="V57" s="3">
        <f>'Source data'!D32</f>
        <v>1</v>
      </c>
      <c r="W57" s="27">
        <f t="shared" si="9"/>
        <v>0.6664442962</v>
      </c>
      <c r="X57" s="27">
        <f t="shared" si="10"/>
        <v>1.998</v>
      </c>
    </row>
    <row r="58" ht="33.75" customHeight="1">
      <c r="A58" s="9" t="s">
        <v>131</v>
      </c>
      <c r="B58" s="3" t="s">
        <v>80</v>
      </c>
      <c r="C58" s="3" t="s">
        <v>27</v>
      </c>
      <c r="D58" s="43">
        <f>Assumptions!B46</f>
        <v>22000</v>
      </c>
      <c r="E58" s="44">
        <f>'Source data'!E32</f>
        <v>29.98</v>
      </c>
      <c r="F58" s="44">
        <f>'Source data'!F32</f>
        <v>9</v>
      </c>
      <c r="G58" s="51">
        <f>'Source data'!G32*Assumptions!$B$13*IF(B58="In-Store",1,Assumptions!$B$14)*Assumptions!B7</f>
        <v>14080</v>
      </c>
      <c r="H58" s="51">
        <f t="shared" si="1"/>
        <v>14080</v>
      </c>
      <c r="I58" s="51">
        <f>(D58-H58)*Assumptions!C7</f>
        <v>7920</v>
      </c>
      <c r="J58" s="51">
        <f t="shared" si="2"/>
        <v>0</v>
      </c>
      <c r="K58" s="26">
        <f>E58*(H58+I58*Assumptions!D7)</f>
        <v>540839.2</v>
      </c>
      <c r="L58" s="26">
        <f t="shared" si="3"/>
        <v>198000</v>
      </c>
      <c r="M58" s="26">
        <f t="shared" si="4"/>
        <v>342839.2</v>
      </c>
      <c r="N58" s="26">
        <f t="shared" si="5"/>
        <v>342839.2</v>
      </c>
      <c r="O58" s="26">
        <f t="shared" si="6"/>
        <v>0</v>
      </c>
      <c r="P58" s="26">
        <f t="shared" si="7"/>
        <v>0</v>
      </c>
      <c r="Q58" s="3">
        <f>COUNTIFS('Product decisions'!$A$7:$A$32,A58,'Product decisions'!$C$7:$C$32,B58)</f>
        <v>0</v>
      </c>
      <c r="R58" s="3">
        <f>COUNTIFS('Product decisions'!$A$7:$A$32,A58,'Product decisions'!$H$7:$H$32,B58)</f>
        <v>0</v>
      </c>
      <c r="S58" s="3">
        <f>COUNTIFS('Product decisions'!$A$7:$A$32,A58,'Product decisions'!$I$7:$I$32,B58)</f>
        <v>0</v>
      </c>
      <c r="T58" s="3">
        <f>COUNTIFS('Product decisions'!$A$7:$A$32,A58,'Product decisions'!$J$7:$J$32,B58)</f>
        <v>0</v>
      </c>
      <c r="U58" s="26">
        <f t="shared" si="11"/>
        <v>198000</v>
      </c>
      <c r="V58" s="3">
        <f>'Source data'!D32</f>
        <v>1</v>
      </c>
      <c r="W58" s="27">
        <f t="shared" si="9"/>
        <v>0.6339022763</v>
      </c>
      <c r="X58" s="27">
        <f t="shared" si="10"/>
        <v>1.731511111</v>
      </c>
    </row>
    <row r="59" ht="33.75" customHeight="1">
      <c r="A59" s="9" t="s">
        <v>54</v>
      </c>
      <c r="B59" s="3" t="s">
        <v>56</v>
      </c>
      <c r="C59" s="3" t="s">
        <v>52</v>
      </c>
      <c r="D59" s="43">
        <f>Assumptions!B21</f>
        <v>40000</v>
      </c>
      <c r="E59" s="44">
        <f>'Source data'!E7</f>
        <v>299</v>
      </c>
      <c r="F59" s="44">
        <f>'Source data'!F7</f>
        <v>126</v>
      </c>
      <c r="G59" s="51">
        <f>IF(B59="In-Store",'Source data'!J7+Assumptions!$B$15*'Source data'!K7,'Source data'!K7+Assumptions!$B$15*'Source data'!J7)*'Source data'!H7/'Source data'!G7*Assumptions!B8</f>
        <v>19285</v>
      </c>
      <c r="H59" s="51">
        <f t="shared" si="1"/>
        <v>19285</v>
      </c>
      <c r="I59" s="51">
        <f>(D59-H59)*Assumptions!C8</f>
        <v>10357.5</v>
      </c>
      <c r="J59" s="51">
        <f t="shared" si="2"/>
        <v>10357.5</v>
      </c>
      <c r="K59" s="26">
        <f>E59*(H59+I59*Assumptions!D8)</f>
        <v>7314661.25</v>
      </c>
      <c r="L59" s="26">
        <f t="shared" si="3"/>
        <v>5040000</v>
      </c>
      <c r="M59" s="26">
        <f t="shared" si="4"/>
        <v>3579706.25</v>
      </c>
      <c r="N59" s="26">
        <f t="shared" si="5"/>
        <v>2274661.25</v>
      </c>
      <c r="O59" s="26">
        <f t="shared" si="6"/>
        <v>1305045</v>
      </c>
      <c r="P59" s="26">
        <f t="shared" si="7"/>
        <v>758220.4167</v>
      </c>
      <c r="Q59" s="3">
        <f>COUNTIFS('Product decisions'!$A$7:$A$32,A59,'Product decisions'!$C$7:$C$32,B59)</f>
        <v>1</v>
      </c>
      <c r="R59" s="3">
        <f>COUNTIFS('Product decisions'!$A$7:$A$32,A59,'Product decisions'!$H$7:$H$32,B59)</f>
        <v>0</v>
      </c>
      <c r="S59" s="3">
        <f>COUNTIFS('Product decisions'!$A$7:$A$32,A59,'Product decisions'!$I$7:$I$32,B59)</f>
        <v>0</v>
      </c>
      <c r="T59" s="3">
        <f>COUNTIFS('Product decisions'!$A$7:$A$32,A59,'Product decisions'!$J$7:$J$32,B59)</f>
        <v>1</v>
      </c>
      <c r="U59" s="26">
        <f t="shared" ref="U59:U90" si="12">0</f>
        <v>0</v>
      </c>
      <c r="V59" s="3">
        <f>'Source data'!D7</f>
        <v>3</v>
      </c>
      <c r="W59" s="27">
        <f t="shared" si="9"/>
        <v>0.3109728766</v>
      </c>
      <c r="X59" s="27">
        <f t="shared" si="10"/>
        <v>0.4513216766</v>
      </c>
    </row>
    <row r="60" ht="33.75" customHeight="1">
      <c r="A60" s="9" t="s">
        <v>54</v>
      </c>
      <c r="B60" s="3" t="s">
        <v>80</v>
      </c>
      <c r="C60" s="3" t="s">
        <v>52</v>
      </c>
      <c r="D60" s="43">
        <f>Assumptions!B21</f>
        <v>40000</v>
      </c>
      <c r="E60" s="44">
        <f>'Source data'!E7</f>
        <v>299</v>
      </c>
      <c r="F60" s="44">
        <f>'Source data'!F7</f>
        <v>126</v>
      </c>
      <c r="G60" s="51">
        <f>IF(B60="In-Store",'Source data'!J7+Assumptions!$B$15*'Source data'!K7,'Source data'!K7+Assumptions!$B$15*'Source data'!J7)*'Source data'!H7/'Source data'!G7*Assumptions!B8</f>
        <v>20615</v>
      </c>
      <c r="H60" s="51">
        <f t="shared" si="1"/>
        <v>20615</v>
      </c>
      <c r="I60" s="51">
        <f>(D60-H60)*Assumptions!C8</f>
        <v>9692.5</v>
      </c>
      <c r="J60" s="51">
        <f t="shared" si="2"/>
        <v>9692.5</v>
      </c>
      <c r="K60" s="26">
        <f>E60*(H60+I60*Assumptions!D8)</f>
        <v>7612913.75</v>
      </c>
      <c r="L60" s="26">
        <f t="shared" si="3"/>
        <v>5040000</v>
      </c>
      <c r="M60" s="26">
        <f t="shared" si="4"/>
        <v>3794168.75</v>
      </c>
      <c r="N60" s="26">
        <f t="shared" si="5"/>
        <v>2572913.75</v>
      </c>
      <c r="O60" s="26">
        <f t="shared" si="6"/>
        <v>1221255</v>
      </c>
      <c r="P60" s="26">
        <f t="shared" si="7"/>
        <v>0</v>
      </c>
      <c r="Q60" s="3">
        <f>COUNTIFS('Product decisions'!$A$7:$A$32,A60,'Product decisions'!$C$7:$C$32,B60)</f>
        <v>0</v>
      </c>
      <c r="R60" s="3">
        <f>COUNTIFS('Product decisions'!$A$7:$A$32,A60,'Product decisions'!$H$7:$H$32,B60)</f>
        <v>1</v>
      </c>
      <c r="S60" s="3">
        <f>COUNTIFS('Product decisions'!$A$7:$A$32,A60,'Product decisions'!$I$7:$I$32,B60)</f>
        <v>1</v>
      </c>
      <c r="T60" s="3">
        <f>COUNTIFS('Product decisions'!$A$7:$A$32,A60,'Product decisions'!$J$7:$J$32,B60)</f>
        <v>0</v>
      </c>
      <c r="U60" s="26">
        <f t="shared" si="12"/>
        <v>0</v>
      </c>
      <c r="V60" s="3">
        <f>'Source data'!D7</f>
        <v>3</v>
      </c>
      <c r="W60" s="27">
        <f t="shared" si="9"/>
        <v>0.3379670169</v>
      </c>
      <c r="X60" s="27">
        <f t="shared" si="10"/>
        <v>0.5104987599</v>
      </c>
    </row>
    <row r="61" ht="33.75" customHeight="1">
      <c r="A61" s="9" t="s">
        <v>74</v>
      </c>
      <c r="B61" s="3" t="s">
        <v>56</v>
      </c>
      <c r="C61" s="3" t="s">
        <v>52</v>
      </c>
      <c r="D61" s="43">
        <f>Assumptions!B22</f>
        <v>9000</v>
      </c>
      <c r="E61" s="44">
        <f>'Source data'!E8</f>
        <v>399</v>
      </c>
      <c r="F61" s="44">
        <f>'Source data'!F8</f>
        <v>184</v>
      </c>
      <c r="G61" s="51">
        <f>IF(B61="In-Store",'Source data'!J8+Assumptions!$B$15*'Source data'!K8,'Source data'!K8+Assumptions!$B$15*'Source data'!J8)*'Source data'!H8/'Source data'!G8*Assumptions!B8</f>
        <v>2457</v>
      </c>
      <c r="H61" s="51">
        <f t="shared" si="1"/>
        <v>2457</v>
      </c>
      <c r="I61" s="51">
        <f>(D61-H61)*Assumptions!C8</f>
        <v>3271.5</v>
      </c>
      <c r="J61" s="51">
        <f t="shared" si="2"/>
        <v>3271.5</v>
      </c>
      <c r="K61" s="26">
        <f>E61*(H61+I61*Assumptions!D8)</f>
        <v>1633007.25</v>
      </c>
      <c r="L61" s="26">
        <f t="shared" si="3"/>
        <v>1656000</v>
      </c>
      <c r="M61" s="26">
        <f t="shared" si="4"/>
        <v>578963.25</v>
      </c>
      <c r="N61" s="26">
        <f t="shared" si="5"/>
        <v>-22992.75</v>
      </c>
      <c r="O61" s="26">
        <f t="shared" si="6"/>
        <v>601956</v>
      </c>
      <c r="P61" s="26">
        <f t="shared" si="7"/>
        <v>-11496.375</v>
      </c>
      <c r="Q61" s="3">
        <f>COUNTIFS('Product decisions'!$A$7:$A$32,A61,'Product decisions'!$C$7:$C$32,B61)</f>
        <v>0</v>
      </c>
      <c r="R61" s="3">
        <f>COUNTIFS('Product decisions'!$A$7:$A$32,A61,'Product decisions'!$H$7:$H$32,B61)</f>
        <v>0</v>
      </c>
      <c r="S61" s="3">
        <f>COUNTIFS('Product decisions'!$A$7:$A$32,A61,'Product decisions'!$I$7:$I$32,B61)</f>
        <v>0</v>
      </c>
      <c r="T61" s="3">
        <f>COUNTIFS('Product decisions'!$A$7:$A$32,A61,'Product decisions'!$J$7:$J$32,B61)</f>
        <v>0</v>
      </c>
      <c r="U61" s="26">
        <f t="shared" si="12"/>
        <v>0</v>
      </c>
      <c r="V61" s="3">
        <f>'Source data'!D8</f>
        <v>2</v>
      </c>
      <c r="W61" s="27">
        <f t="shared" si="9"/>
        <v>-0.01408000485</v>
      </c>
      <c r="X61" s="27">
        <f t="shared" si="10"/>
        <v>-0.01388451087</v>
      </c>
    </row>
    <row r="62" ht="33.75" customHeight="1">
      <c r="A62" s="9" t="s">
        <v>74</v>
      </c>
      <c r="B62" s="3" t="s">
        <v>80</v>
      </c>
      <c r="C62" s="3" t="s">
        <v>52</v>
      </c>
      <c r="D62" s="43">
        <f>Assumptions!B22</f>
        <v>9000</v>
      </c>
      <c r="E62" s="44">
        <f>'Source data'!E8</f>
        <v>399</v>
      </c>
      <c r="F62" s="44">
        <f>'Source data'!F8</f>
        <v>184</v>
      </c>
      <c r="G62" s="51">
        <f>IF(B62="In-Store",'Source data'!J8+Assumptions!$B$15*'Source data'!K8,'Source data'!K8+Assumptions!$B$15*'Source data'!J8)*'Source data'!H8/'Source data'!G8*Assumptions!B8</f>
        <v>3213</v>
      </c>
      <c r="H62" s="51">
        <f t="shared" si="1"/>
        <v>3213</v>
      </c>
      <c r="I62" s="51">
        <f>(D62-H62)*Assumptions!C8</f>
        <v>2893.5</v>
      </c>
      <c r="J62" s="51">
        <f t="shared" si="2"/>
        <v>2893.5</v>
      </c>
      <c r="K62" s="26">
        <f>E62*(H62+I62*Assumptions!D8)</f>
        <v>1859240.25</v>
      </c>
      <c r="L62" s="26">
        <f t="shared" si="3"/>
        <v>1656000</v>
      </c>
      <c r="M62" s="26">
        <f t="shared" si="4"/>
        <v>735644.25</v>
      </c>
      <c r="N62" s="26">
        <f t="shared" si="5"/>
        <v>203240.25</v>
      </c>
      <c r="O62" s="26">
        <f t="shared" si="6"/>
        <v>532404</v>
      </c>
      <c r="P62" s="26">
        <f t="shared" si="7"/>
        <v>0</v>
      </c>
      <c r="Q62" s="3">
        <f>COUNTIFS('Product decisions'!$A$7:$A$32,A62,'Product decisions'!$C$7:$C$32,B62)</f>
        <v>1</v>
      </c>
      <c r="R62" s="3">
        <f>COUNTIFS('Product decisions'!$A$7:$A$32,A62,'Product decisions'!$H$7:$H$32,B62)</f>
        <v>1</v>
      </c>
      <c r="S62" s="3">
        <f>COUNTIFS('Product decisions'!$A$7:$A$32,A62,'Product decisions'!$I$7:$I$32,B62)</f>
        <v>0</v>
      </c>
      <c r="T62" s="3">
        <f>COUNTIFS('Product decisions'!$A$7:$A$32,A62,'Product decisions'!$J$7:$J$32,B62)</f>
        <v>1</v>
      </c>
      <c r="U62" s="26">
        <f t="shared" si="12"/>
        <v>0</v>
      </c>
      <c r="V62" s="3">
        <f>'Source data'!D8</f>
        <v>2</v>
      </c>
      <c r="W62" s="27">
        <f t="shared" si="9"/>
        <v>0.1093136027</v>
      </c>
      <c r="X62" s="27">
        <f t="shared" si="10"/>
        <v>0.1227296196</v>
      </c>
    </row>
    <row r="63" ht="33.75" customHeight="1">
      <c r="A63" s="9" t="s">
        <v>75</v>
      </c>
      <c r="B63" s="3" t="s">
        <v>56</v>
      </c>
      <c r="C63" s="3" t="s">
        <v>52</v>
      </c>
      <c r="D63" s="43">
        <f>Assumptions!B23</f>
        <v>12000</v>
      </c>
      <c r="E63" s="44">
        <f>'Source data'!E9</f>
        <v>279</v>
      </c>
      <c r="F63" s="44">
        <f>'Source data'!F9</f>
        <v>107</v>
      </c>
      <c r="G63" s="51">
        <f>IF(B63="In-Store",'Source data'!J9+Assumptions!$B$15*'Source data'!K9,'Source data'!K9+Assumptions!$B$15*'Source data'!J9)*'Source data'!H9/'Source data'!G9*Assumptions!B8</f>
        <v>5355</v>
      </c>
      <c r="H63" s="51">
        <f t="shared" si="1"/>
        <v>5355</v>
      </c>
      <c r="I63" s="51">
        <f>(D63-H63)*Assumptions!C8</f>
        <v>3322.5</v>
      </c>
      <c r="J63" s="51">
        <f t="shared" si="2"/>
        <v>3322.5</v>
      </c>
      <c r="K63" s="26">
        <f>E63*(H63+I63*Assumptions!D8)</f>
        <v>1957533.75</v>
      </c>
      <c r="L63" s="26">
        <f t="shared" si="3"/>
        <v>1284000</v>
      </c>
      <c r="M63" s="26">
        <f t="shared" si="4"/>
        <v>1029041.25</v>
      </c>
      <c r="N63" s="26">
        <f t="shared" si="5"/>
        <v>673533.75</v>
      </c>
      <c r="O63" s="26">
        <f t="shared" si="6"/>
        <v>355507.5</v>
      </c>
      <c r="P63" s="26">
        <f t="shared" si="7"/>
        <v>673533.75</v>
      </c>
      <c r="Q63" s="3">
        <f>COUNTIFS('Product decisions'!$A$7:$A$32,A63,'Product decisions'!$C$7:$C$32,B63)</f>
        <v>1</v>
      </c>
      <c r="R63" s="3">
        <f>COUNTIFS('Product decisions'!$A$7:$A$32,A63,'Product decisions'!$H$7:$H$32,B63)</f>
        <v>1</v>
      </c>
      <c r="S63" s="3">
        <f>COUNTIFS('Product decisions'!$A$7:$A$32,A63,'Product decisions'!$I$7:$I$32,B63)</f>
        <v>1</v>
      </c>
      <c r="T63" s="3">
        <f>COUNTIFS('Product decisions'!$A$7:$A$32,A63,'Product decisions'!$J$7:$J$32,B63)</f>
        <v>1</v>
      </c>
      <c r="U63" s="26">
        <f t="shared" si="12"/>
        <v>0</v>
      </c>
      <c r="V63" s="3">
        <f>'Source data'!D9</f>
        <v>1</v>
      </c>
      <c r="W63" s="27">
        <f t="shared" si="9"/>
        <v>0.3440726118</v>
      </c>
      <c r="X63" s="27">
        <f t="shared" si="10"/>
        <v>0.5245589953</v>
      </c>
    </row>
    <row r="64" ht="33.75" customHeight="1">
      <c r="A64" s="9" t="s">
        <v>75</v>
      </c>
      <c r="B64" s="3" t="s">
        <v>80</v>
      </c>
      <c r="C64" s="3" t="s">
        <v>52</v>
      </c>
      <c r="D64" s="43">
        <f>Assumptions!B23</f>
        <v>12000</v>
      </c>
      <c r="E64" s="44">
        <f>'Source data'!E9</f>
        <v>279</v>
      </c>
      <c r="F64" s="44">
        <f>'Source data'!F9</f>
        <v>107</v>
      </c>
      <c r="G64" s="51">
        <f>IF(B64="In-Store",'Source data'!J9+Assumptions!$B$15*'Source data'!K9,'Source data'!K9+Assumptions!$B$15*'Source data'!J9)*'Source data'!H9/'Source data'!G9*Assumptions!B8</f>
        <v>5355</v>
      </c>
      <c r="H64" s="51">
        <f t="shared" si="1"/>
        <v>5355</v>
      </c>
      <c r="I64" s="51">
        <f>(D64-H64)*Assumptions!C8</f>
        <v>3322.5</v>
      </c>
      <c r="J64" s="51">
        <f t="shared" si="2"/>
        <v>3322.5</v>
      </c>
      <c r="K64" s="26">
        <f>E64*(H64+I64*Assumptions!D8)</f>
        <v>1957533.75</v>
      </c>
      <c r="L64" s="26">
        <f t="shared" si="3"/>
        <v>1284000</v>
      </c>
      <c r="M64" s="26">
        <f t="shared" si="4"/>
        <v>1029041.25</v>
      </c>
      <c r="N64" s="26">
        <f t="shared" si="5"/>
        <v>673533.75</v>
      </c>
      <c r="O64" s="26">
        <f t="shared" si="6"/>
        <v>355507.5</v>
      </c>
      <c r="P64" s="26">
        <f t="shared" si="7"/>
        <v>0</v>
      </c>
      <c r="Q64" s="3">
        <f>COUNTIFS('Product decisions'!$A$7:$A$32,A64,'Product decisions'!$C$7:$C$32,B64)</f>
        <v>0</v>
      </c>
      <c r="R64" s="3">
        <f>COUNTIFS('Product decisions'!$A$7:$A$32,A64,'Product decisions'!$H$7:$H$32,B64)</f>
        <v>0</v>
      </c>
      <c r="S64" s="3">
        <f>COUNTIFS('Product decisions'!$A$7:$A$32,A64,'Product decisions'!$I$7:$I$32,B64)</f>
        <v>0</v>
      </c>
      <c r="T64" s="3">
        <f>COUNTIFS('Product decisions'!$A$7:$A$32,A64,'Product decisions'!$J$7:$J$32,B64)</f>
        <v>0</v>
      </c>
      <c r="U64" s="26">
        <f t="shared" si="12"/>
        <v>0</v>
      </c>
      <c r="V64" s="3">
        <f>'Source data'!D9</f>
        <v>1</v>
      </c>
      <c r="W64" s="27">
        <f t="shared" si="9"/>
        <v>0.3440726118</v>
      </c>
      <c r="X64" s="27">
        <f t="shared" si="10"/>
        <v>0.5245589953</v>
      </c>
    </row>
    <row r="65" ht="33.75" customHeight="1">
      <c r="A65" s="9" t="s">
        <v>77</v>
      </c>
      <c r="B65" s="3" t="s">
        <v>56</v>
      </c>
      <c r="C65" s="3" t="s">
        <v>52</v>
      </c>
      <c r="D65" s="43">
        <f>Assumptions!B24</f>
        <v>14000</v>
      </c>
      <c r="E65" s="44">
        <f>'Source data'!E10</f>
        <v>129</v>
      </c>
      <c r="F65" s="44">
        <f>'Source data'!F10</f>
        <v>42</v>
      </c>
      <c r="G65" s="51">
        <f>IF(B65="In-Store",'Source data'!J10+Assumptions!$B$15*'Source data'!K10,'Source data'!K10+Assumptions!$B$15*'Source data'!J10)*'Source data'!H10/'Source data'!G10*Assumptions!B8</f>
        <v>6076</v>
      </c>
      <c r="H65" s="51">
        <f t="shared" si="1"/>
        <v>6076</v>
      </c>
      <c r="I65" s="51">
        <f>(D65-H65)*Assumptions!C8</f>
        <v>3962</v>
      </c>
      <c r="J65" s="51">
        <f t="shared" si="2"/>
        <v>3962</v>
      </c>
      <c r="K65" s="26">
        <f>E65*(H65+I65*Assumptions!D8)</f>
        <v>1039353</v>
      </c>
      <c r="L65" s="26">
        <f t="shared" si="3"/>
        <v>588000</v>
      </c>
      <c r="M65" s="26">
        <f t="shared" si="4"/>
        <v>617757</v>
      </c>
      <c r="N65" s="26">
        <f t="shared" si="5"/>
        <v>451353</v>
      </c>
      <c r="O65" s="26">
        <f t="shared" si="6"/>
        <v>166404</v>
      </c>
      <c r="P65" s="26">
        <f t="shared" si="7"/>
        <v>451353</v>
      </c>
      <c r="Q65" s="3">
        <f>COUNTIFS('Product decisions'!$A$7:$A$32,A65,'Product decisions'!$C$7:$C$32,B65)</f>
        <v>1</v>
      </c>
      <c r="R65" s="3">
        <f>COUNTIFS('Product decisions'!$A$7:$A$32,A65,'Product decisions'!$H$7:$H$32,B65)</f>
        <v>1</v>
      </c>
      <c r="S65" s="3">
        <f>COUNTIFS('Product decisions'!$A$7:$A$32,A65,'Product decisions'!$I$7:$I$32,B65)</f>
        <v>1</v>
      </c>
      <c r="T65" s="3">
        <f>COUNTIFS('Product decisions'!$A$7:$A$32,A65,'Product decisions'!$J$7:$J$32,B65)</f>
        <v>1</v>
      </c>
      <c r="U65" s="26">
        <f t="shared" si="12"/>
        <v>0</v>
      </c>
      <c r="V65" s="3">
        <f>'Source data'!D10</f>
        <v>1</v>
      </c>
      <c r="W65" s="27">
        <f t="shared" si="9"/>
        <v>0.4342634312</v>
      </c>
      <c r="X65" s="27">
        <f t="shared" si="10"/>
        <v>0.7676071429</v>
      </c>
    </row>
    <row r="66" ht="33.75" customHeight="1">
      <c r="A66" s="9" t="s">
        <v>77</v>
      </c>
      <c r="B66" s="3" t="s">
        <v>80</v>
      </c>
      <c r="C66" s="3" t="s">
        <v>52</v>
      </c>
      <c r="D66" s="43">
        <f>Assumptions!B24</f>
        <v>14000</v>
      </c>
      <c r="E66" s="44">
        <f>'Source data'!E10</f>
        <v>129</v>
      </c>
      <c r="F66" s="44">
        <f>'Source data'!F10</f>
        <v>42</v>
      </c>
      <c r="G66" s="51">
        <f>IF(B66="In-Store",'Source data'!J10+Assumptions!$B$15*'Source data'!K10,'Source data'!K10+Assumptions!$B$15*'Source data'!J10)*'Source data'!H10/'Source data'!G10*Assumptions!B8</f>
        <v>5684</v>
      </c>
      <c r="H66" s="51">
        <f t="shared" si="1"/>
        <v>5684</v>
      </c>
      <c r="I66" s="51">
        <f>(D66-H66)*Assumptions!C8</f>
        <v>4158</v>
      </c>
      <c r="J66" s="51">
        <f t="shared" si="2"/>
        <v>4158</v>
      </c>
      <c r="K66" s="26">
        <f>E66*(H66+I66*Assumptions!D8)</f>
        <v>1001427</v>
      </c>
      <c r="L66" s="26">
        <f t="shared" si="3"/>
        <v>588000</v>
      </c>
      <c r="M66" s="26">
        <f t="shared" si="4"/>
        <v>588063</v>
      </c>
      <c r="N66" s="26">
        <f t="shared" si="5"/>
        <v>413427</v>
      </c>
      <c r="O66" s="26">
        <f t="shared" si="6"/>
        <v>174636</v>
      </c>
      <c r="P66" s="26">
        <f t="shared" si="7"/>
        <v>0</v>
      </c>
      <c r="Q66" s="3">
        <f>COUNTIFS('Product decisions'!$A$7:$A$32,A66,'Product decisions'!$C$7:$C$32,B66)</f>
        <v>0</v>
      </c>
      <c r="R66" s="3">
        <f>COUNTIFS('Product decisions'!$A$7:$A$32,A66,'Product decisions'!$H$7:$H$32,B66)</f>
        <v>0</v>
      </c>
      <c r="S66" s="3">
        <f>COUNTIFS('Product decisions'!$A$7:$A$32,A66,'Product decisions'!$I$7:$I$32,B66)</f>
        <v>0</v>
      </c>
      <c r="T66" s="3">
        <f>COUNTIFS('Product decisions'!$A$7:$A$32,A66,'Product decisions'!$J$7:$J$32,B66)</f>
        <v>0</v>
      </c>
      <c r="U66" s="26">
        <f t="shared" si="12"/>
        <v>0</v>
      </c>
      <c r="V66" s="3">
        <f>'Source data'!D10</f>
        <v>1</v>
      </c>
      <c r="W66" s="27">
        <f t="shared" si="9"/>
        <v>0.4128378803</v>
      </c>
      <c r="X66" s="27">
        <f t="shared" si="10"/>
        <v>0.7031071429</v>
      </c>
    </row>
    <row r="67" ht="33.75" customHeight="1">
      <c r="A67" s="9" t="s">
        <v>78</v>
      </c>
      <c r="B67" s="3" t="s">
        <v>56</v>
      </c>
      <c r="C67" s="3" t="s">
        <v>52</v>
      </c>
      <c r="D67" s="43">
        <f>Assumptions!B25</f>
        <v>8000</v>
      </c>
      <c r="E67" s="44">
        <f>'Source data'!E11</f>
        <v>149</v>
      </c>
      <c r="F67" s="44">
        <f>'Source data'!F11</f>
        <v>132</v>
      </c>
      <c r="G67" s="51">
        <f>IF(B67="In-Store",'Source data'!J11+Assumptions!$B$15*'Source data'!K11,'Source data'!K11+Assumptions!$B$15*'Source data'!J11)*'Source data'!H11/'Source data'!G11*Assumptions!B8</f>
        <v>3332</v>
      </c>
      <c r="H67" s="51">
        <f t="shared" si="1"/>
        <v>3332</v>
      </c>
      <c r="I67" s="51">
        <f>(D67-H67)*Assumptions!C8</f>
        <v>2334</v>
      </c>
      <c r="J67" s="51">
        <f t="shared" si="2"/>
        <v>2334</v>
      </c>
      <c r="K67" s="26">
        <f>E67*(H67+I67*Assumptions!D8)</f>
        <v>670351</v>
      </c>
      <c r="L67" s="26">
        <f t="shared" si="3"/>
        <v>1056000</v>
      </c>
      <c r="M67" s="26">
        <f t="shared" si="4"/>
        <v>-77561</v>
      </c>
      <c r="N67" s="26">
        <f t="shared" si="5"/>
        <v>-385649</v>
      </c>
      <c r="O67" s="26">
        <f t="shared" si="6"/>
        <v>308088</v>
      </c>
      <c r="P67" s="26">
        <f t="shared" si="7"/>
        <v>-192824.5</v>
      </c>
      <c r="Q67" s="3">
        <f>COUNTIFS('Product decisions'!$A$7:$A$32,A67,'Product decisions'!$C$7:$C$32,B67)</f>
        <v>0</v>
      </c>
      <c r="R67" s="3">
        <f>COUNTIFS('Product decisions'!$A$7:$A$32,A67,'Product decisions'!$H$7:$H$32,B67)</f>
        <v>0</v>
      </c>
      <c r="S67" s="3">
        <f>COUNTIFS('Product decisions'!$A$7:$A$32,A67,'Product decisions'!$I$7:$I$32,B67)</f>
        <v>0</v>
      </c>
      <c r="T67" s="3">
        <f>COUNTIFS('Product decisions'!$A$7:$A$32,A67,'Product decisions'!$J$7:$J$32,B67)</f>
        <v>0</v>
      </c>
      <c r="U67" s="26">
        <f t="shared" si="12"/>
        <v>0</v>
      </c>
      <c r="V67" s="3">
        <f>'Source data'!D11</f>
        <v>2</v>
      </c>
      <c r="W67" s="27">
        <f t="shared" si="9"/>
        <v>-0.575294137</v>
      </c>
      <c r="X67" s="27">
        <f t="shared" si="10"/>
        <v>-0.3651979167</v>
      </c>
    </row>
    <row r="68" ht="33.75" customHeight="1">
      <c r="A68" s="9" t="s">
        <v>78</v>
      </c>
      <c r="B68" s="3" t="s">
        <v>80</v>
      </c>
      <c r="C68" s="3" t="s">
        <v>52</v>
      </c>
      <c r="D68" s="43">
        <f>Assumptions!B25</f>
        <v>8000</v>
      </c>
      <c r="E68" s="44">
        <f>'Source data'!E11</f>
        <v>149</v>
      </c>
      <c r="F68" s="44">
        <f>'Source data'!F11</f>
        <v>132</v>
      </c>
      <c r="G68" s="51">
        <f>IF(B68="In-Store",'Source data'!J11+Assumptions!$B$15*'Source data'!K11,'Source data'!K11+Assumptions!$B$15*'Source data'!J11)*'Source data'!H11/'Source data'!G11*Assumptions!B8</f>
        <v>3808</v>
      </c>
      <c r="H68" s="51">
        <f t="shared" si="1"/>
        <v>3808</v>
      </c>
      <c r="I68" s="51">
        <f>(D68-H68)*Assumptions!C8</f>
        <v>2096</v>
      </c>
      <c r="J68" s="51">
        <f t="shared" si="2"/>
        <v>2096</v>
      </c>
      <c r="K68" s="26">
        <f>E68*(H68+I68*Assumptions!D8)</f>
        <v>723544</v>
      </c>
      <c r="L68" s="26">
        <f t="shared" si="3"/>
        <v>1056000</v>
      </c>
      <c r="M68" s="26">
        <f t="shared" si="4"/>
        <v>-55784</v>
      </c>
      <c r="N68" s="26">
        <f t="shared" si="5"/>
        <v>-332456</v>
      </c>
      <c r="O68" s="26">
        <f t="shared" si="6"/>
        <v>276672</v>
      </c>
      <c r="P68" s="26">
        <f t="shared" si="7"/>
        <v>0</v>
      </c>
      <c r="Q68" s="3">
        <f>COUNTIFS('Product decisions'!$A$7:$A$32,A68,'Product decisions'!$C$7:$C$32,B68)</f>
        <v>0</v>
      </c>
      <c r="R68" s="3">
        <f>COUNTIFS('Product decisions'!$A$7:$A$32,A68,'Product decisions'!$H$7:$H$32,B68)</f>
        <v>0</v>
      </c>
      <c r="S68" s="3">
        <f>COUNTIFS('Product decisions'!$A$7:$A$32,A68,'Product decisions'!$I$7:$I$32,B68)</f>
        <v>0</v>
      </c>
      <c r="T68" s="3">
        <f>COUNTIFS('Product decisions'!$A$7:$A$32,A68,'Product decisions'!$J$7:$J$32,B68)</f>
        <v>0</v>
      </c>
      <c r="U68" s="26">
        <f t="shared" si="12"/>
        <v>0</v>
      </c>
      <c r="V68" s="3">
        <f>'Source data'!D11</f>
        <v>2</v>
      </c>
      <c r="W68" s="27">
        <f t="shared" si="9"/>
        <v>-0.4594827682</v>
      </c>
      <c r="X68" s="27">
        <f t="shared" si="10"/>
        <v>-0.3148257576</v>
      </c>
    </row>
    <row r="69" ht="33.75" customHeight="1">
      <c r="A69" s="9" t="s">
        <v>79</v>
      </c>
      <c r="B69" s="3" t="s">
        <v>56</v>
      </c>
      <c r="C69" s="3" t="s">
        <v>52</v>
      </c>
      <c r="D69" s="43">
        <f>Assumptions!B26</f>
        <v>5000</v>
      </c>
      <c r="E69" s="44">
        <f>'Source data'!E12</f>
        <v>269</v>
      </c>
      <c r="F69" s="44">
        <f>'Source data'!F12</f>
        <v>160</v>
      </c>
      <c r="G69" s="51">
        <f>IF(B69="In-Store",'Source data'!J12+Assumptions!$B$15*'Source data'!K12,'Source data'!K12+Assumptions!$B$15*'Source data'!J12)*'Source data'!H12/'Source data'!G12*Assumptions!B8</f>
        <v>1890</v>
      </c>
      <c r="H69" s="51">
        <f t="shared" si="1"/>
        <v>1890</v>
      </c>
      <c r="I69" s="51">
        <f>(D69-H69)*Assumptions!C8</f>
        <v>1555</v>
      </c>
      <c r="J69" s="51">
        <f t="shared" si="2"/>
        <v>1555</v>
      </c>
      <c r="K69" s="26">
        <f>E69*(H69+I69*Assumptions!D8)</f>
        <v>717557.5</v>
      </c>
      <c r="L69" s="26">
        <f t="shared" si="3"/>
        <v>800000</v>
      </c>
      <c r="M69" s="26">
        <f t="shared" si="4"/>
        <v>166357.5</v>
      </c>
      <c r="N69" s="26">
        <f t="shared" si="5"/>
        <v>-82442.5</v>
      </c>
      <c r="O69" s="26">
        <f t="shared" si="6"/>
        <v>248800</v>
      </c>
      <c r="P69" s="26">
        <f t="shared" si="7"/>
        <v>-82442.5</v>
      </c>
      <c r="Q69" s="3">
        <f>COUNTIFS('Product decisions'!$A$7:$A$32,A69,'Product decisions'!$C$7:$C$32,B69)</f>
        <v>1</v>
      </c>
      <c r="R69" s="3">
        <f>COUNTIFS('Product decisions'!$A$7:$A$32,A69,'Product decisions'!$H$7:$H$32,B69)</f>
        <v>0</v>
      </c>
      <c r="S69" s="3">
        <f>COUNTIFS('Product decisions'!$A$7:$A$32,A69,'Product decisions'!$I$7:$I$32,B69)</f>
        <v>0</v>
      </c>
      <c r="T69" s="3">
        <f>COUNTIFS('Product decisions'!$A$7:$A$32,A69,'Product decisions'!$J$7:$J$32,B69)</f>
        <v>1</v>
      </c>
      <c r="U69" s="26">
        <f t="shared" si="12"/>
        <v>0</v>
      </c>
      <c r="V69" s="3">
        <f>'Source data'!D12</f>
        <v>1</v>
      </c>
      <c r="W69" s="27">
        <f t="shared" si="9"/>
        <v>-0.1148932316</v>
      </c>
      <c r="X69" s="27">
        <f t="shared" si="10"/>
        <v>-0.103053125</v>
      </c>
    </row>
    <row r="70" ht="33.75" customHeight="1">
      <c r="A70" s="9" t="s">
        <v>79</v>
      </c>
      <c r="B70" s="3" t="s">
        <v>80</v>
      </c>
      <c r="C70" s="3" t="s">
        <v>52</v>
      </c>
      <c r="D70" s="43">
        <f>Assumptions!B26</f>
        <v>5000</v>
      </c>
      <c r="E70" s="44">
        <f>'Source data'!E12</f>
        <v>269</v>
      </c>
      <c r="F70" s="44">
        <f>'Source data'!F12</f>
        <v>160</v>
      </c>
      <c r="G70" s="51">
        <f>IF(B70="In-Store",'Source data'!J12+Assumptions!$B$15*'Source data'!K12,'Source data'!K12+Assumptions!$B$15*'Source data'!J12)*'Source data'!H12/'Source data'!G12*Assumptions!B8</f>
        <v>2310</v>
      </c>
      <c r="H70" s="51">
        <f t="shared" si="1"/>
        <v>2310</v>
      </c>
      <c r="I70" s="51">
        <f>(D70-H70)*Assumptions!C8</f>
        <v>1345</v>
      </c>
      <c r="J70" s="51">
        <f t="shared" si="2"/>
        <v>1345</v>
      </c>
      <c r="K70" s="26">
        <f>E70*(H70+I70*Assumptions!D8)</f>
        <v>802292.5</v>
      </c>
      <c r="L70" s="26">
        <f t="shared" si="3"/>
        <v>800000</v>
      </c>
      <c r="M70" s="26">
        <f t="shared" si="4"/>
        <v>217492.5</v>
      </c>
      <c r="N70" s="26">
        <f t="shared" si="5"/>
        <v>2292.5</v>
      </c>
      <c r="O70" s="26">
        <f t="shared" si="6"/>
        <v>215200</v>
      </c>
      <c r="P70" s="26">
        <f t="shared" si="7"/>
        <v>0</v>
      </c>
      <c r="Q70" s="3">
        <f>COUNTIFS('Product decisions'!$A$7:$A$32,A70,'Product decisions'!$C$7:$C$32,B70)</f>
        <v>0</v>
      </c>
      <c r="R70" s="3">
        <f>COUNTIFS('Product decisions'!$A$7:$A$32,A70,'Product decisions'!$H$7:$H$32,B70)</f>
        <v>0</v>
      </c>
      <c r="S70" s="3">
        <f>COUNTIFS('Product decisions'!$A$7:$A$32,A70,'Product decisions'!$I$7:$I$32,B70)</f>
        <v>0</v>
      </c>
      <c r="T70" s="3">
        <f>COUNTIFS('Product decisions'!$A$7:$A$32,A70,'Product decisions'!$J$7:$J$32,B70)</f>
        <v>0</v>
      </c>
      <c r="U70" s="26">
        <f t="shared" si="12"/>
        <v>0</v>
      </c>
      <c r="V70" s="3">
        <f>'Source data'!D12</f>
        <v>1</v>
      </c>
      <c r="W70" s="27">
        <f t="shared" si="9"/>
        <v>0.002857436658</v>
      </c>
      <c r="X70" s="27">
        <f t="shared" si="10"/>
        <v>0.002865625</v>
      </c>
    </row>
    <row r="71" ht="33.75" customHeight="1">
      <c r="A71" s="9" t="s">
        <v>81</v>
      </c>
      <c r="B71" s="3" t="s">
        <v>56</v>
      </c>
      <c r="C71" s="3" t="s">
        <v>52</v>
      </c>
      <c r="D71" s="43">
        <f>Assumptions!B27</f>
        <v>6000</v>
      </c>
      <c r="E71" s="44">
        <f>'Source data'!E13</f>
        <v>119</v>
      </c>
      <c r="F71" s="44">
        <f>'Source data'!F13</f>
        <v>87</v>
      </c>
      <c r="G71" s="51">
        <f>IF(B71="In-Store",'Source data'!J13+Assumptions!$B$15*'Source data'!K13,'Source data'!K13+Assumptions!$B$15*'Source data'!J13)*'Source data'!H13/'Source data'!G13*Assumptions!B8</f>
        <v>1522.5</v>
      </c>
      <c r="H71" s="51">
        <f t="shared" si="1"/>
        <v>1522.5</v>
      </c>
      <c r="I71" s="51">
        <f>(D71-H71)*Assumptions!C8</f>
        <v>2238.75</v>
      </c>
      <c r="J71" s="51">
        <f t="shared" si="2"/>
        <v>2238.75</v>
      </c>
      <c r="K71" s="26">
        <f>E71*(H71+I71*Assumptions!D8)</f>
        <v>314383.125</v>
      </c>
      <c r="L71" s="26">
        <f t="shared" si="3"/>
        <v>522000</v>
      </c>
      <c r="M71" s="26">
        <f t="shared" si="4"/>
        <v>-12845.625</v>
      </c>
      <c r="N71" s="26">
        <f t="shared" si="5"/>
        <v>-207616.875</v>
      </c>
      <c r="O71" s="26">
        <f t="shared" si="6"/>
        <v>194771.25</v>
      </c>
      <c r="P71" s="26">
        <f t="shared" si="7"/>
        <v>-207616.875</v>
      </c>
      <c r="Q71" s="3">
        <f>COUNTIFS('Product decisions'!$A$7:$A$32,A71,'Product decisions'!$C$7:$C$32,B71)</f>
        <v>0</v>
      </c>
      <c r="R71" s="3">
        <f>COUNTIFS('Product decisions'!$A$7:$A$32,A71,'Product decisions'!$H$7:$H$32,B71)</f>
        <v>0</v>
      </c>
      <c r="S71" s="3">
        <f>COUNTIFS('Product decisions'!$A$7:$A$32,A71,'Product decisions'!$I$7:$I$32,B71)</f>
        <v>0</v>
      </c>
      <c r="T71" s="3">
        <f>COUNTIFS('Product decisions'!$A$7:$A$32,A71,'Product decisions'!$J$7:$J$32,B71)</f>
        <v>0</v>
      </c>
      <c r="U71" s="26">
        <f t="shared" si="12"/>
        <v>0</v>
      </c>
      <c r="V71" s="3">
        <f>'Source data'!D13</f>
        <v>1</v>
      </c>
      <c r="W71" s="27">
        <f t="shared" si="9"/>
        <v>-0.660394463</v>
      </c>
      <c r="X71" s="27">
        <f t="shared" si="10"/>
        <v>-0.397733477</v>
      </c>
    </row>
    <row r="72" ht="33.75" customHeight="1">
      <c r="A72" s="9" t="s">
        <v>81</v>
      </c>
      <c r="B72" s="3" t="s">
        <v>80</v>
      </c>
      <c r="C72" s="3" t="s">
        <v>52</v>
      </c>
      <c r="D72" s="43">
        <f>Assumptions!B27</f>
        <v>6000</v>
      </c>
      <c r="E72" s="44">
        <f>'Source data'!E13</f>
        <v>119</v>
      </c>
      <c r="F72" s="44">
        <f>'Source data'!F13</f>
        <v>87</v>
      </c>
      <c r="G72" s="51">
        <f>IF(B72="In-Store",'Source data'!J13+Assumptions!$B$15*'Source data'!K13,'Source data'!K13+Assumptions!$B$15*'Source data'!J13)*'Source data'!H13/'Source data'!G13*Assumptions!B8</f>
        <v>1627.5</v>
      </c>
      <c r="H72" s="51">
        <f t="shared" si="1"/>
        <v>1627.5</v>
      </c>
      <c r="I72" s="51">
        <f>(D72-H72)*Assumptions!C8</f>
        <v>2186.25</v>
      </c>
      <c r="J72" s="51">
        <f t="shared" si="2"/>
        <v>2186.25</v>
      </c>
      <c r="K72" s="26">
        <f>E72*(H72+I72*Assumptions!D8)</f>
        <v>323754.375</v>
      </c>
      <c r="L72" s="26">
        <f t="shared" si="3"/>
        <v>522000</v>
      </c>
      <c r="M72" s="26">
        <f t="shared" si="4"/>
        <v>-8041.875</v>
      </c>
      <c r="N72" s="26">
        <f t="shared" si="5"/>
        <v>-198245.625</v>
      </c>
      <c r="O72" s="26">
        <f t="shared" si="6"/>
        <v>190203.75</v>
      </c>
      <c r="P72" s="26">
        <f t="shared" si="7"/>
        <v>0</v>
      </c>
      <c r="Q72" s="3">
        <f>COUNTIFS('Product decisions'!$A$7:$A$32,A72,'Product decisions'!$C$7:$C$32,B72)</f>
        <v>0</v>
      </c>
      <c r="R72" s="3">
        <f>COUNTIFS('Product decisions'!$A$7:$A$32,A72,'Product decisions'!$H$7:$H$32,B72)</f>
        <v>0</v>
      </c>
      <c r="S72" s="3">
        <f>COUNTIFS('Product decisions'!$A$7:$A$32,A72,'Product decisions'!$I$7:$I$32,B72)</f>
        <v>0</v>
      </c>
      <c r="T72" s="3">
        <f>COUNTIFS('Product decisions'!$A$7:$A$32,A72,'Product decisions'!$J$7:$J$32,B72)</f>
        <v>0</v>
      </c>
      <c r="U72" s="26">
        <f t="shared" si="12"/>
        <v>0</v>
      </c>
      <c r="V72" s="3">
        <f>'Source data'!D13</f>
        <v>1</v>
      </c>
      <c r="W72" s="27">
        <f t="shared" si="9"/>
        <v>-0.6123334241</v>
      </c>
      <c r="X72" s="27">
        <f t="shared" si="10"/>
        <v>-0.3797808908</v>
      </c>
    </row>
    <row r="73" ht="33.75" customHeight="1">
      <c r="A73" s="9" t="s">
        <v>82</v>
      </c>
      <c r="B73" s="3" t="s">
        <v>56</v>
      </c>
      <c r="C73" s="3" t="s">
        <v>52</v>
      </c>
      <c r="D73" s="43">
        <f>Assumptions!B28</f>
        <v>20000</v>
      </c>
      <c r="E73" s="44">
        <f>'Source data'!E14</f>
        <v>59</v>
      </c>
      <c r="F73" s="44">
        <f>'Source data'!F14</f>
        <v>35</v>
      </c>
      <c r="G73" s="51">
        <f>IF(B73="In-Store",'Source data'!J14+Assumptions!$B$15*'Source data'!K14,'Source data'!K14+Assumptions!$B$15*'Source data'!J14)*'Source data'!H14/'Source data'!G14*Assumptions!B8</f>
        <v>9817.5</v>
      </c>
      <c r="H73" s="51">
        <f t="shared" si="1"/>
        <v>9817.5</v>
      </c>
      <c r="I73" s="51">
        <f>(D73-H73)*Assumptions!C8</f>
        <v>5091.25</v>
      </c>
      <c r="J73" s="51">
        <f t="shared" si="2"/>
        <v>5091.25</v>
      </c>
      <c r="K73" s="26">
        <f>E73*(H73+I73*Assumptions!D8)</f>
        <v>729424.375</v>
      </c>
      <c r="L73" s="26">
        <f t="shared" si="3"/>
        <v>700000</v>
      </c>
      <c r="M73" s="26">
        <f t="shared" si="4"/>
        <v>207618.125</v>
      </c>
      <c r="N73" s="26">
        <f t="shared" si="5"/>
        <v>29424.375</v>
      </c>
      <c r="O73" s="26">
        <f t="shared" si="6"/>
        <v>178193.75</v>
      </c>
      <c r="P73" s="26">
        <f t="shared" si="7"/>
        <v>29424.375</v>
      </c>
      <c r="Q73" s="3">
        <f>COUNTIFS('Product decisions'!$A$7:$A$32,A73,'Product decisions'!$C$7:$C$32,B73)</f>
        <v>1</v>
      </c>
      <c r="R73" s="3">
        <f>COUNTIFS('Product decisions'!$A$7:$A$32,A73,'Product decisions'!$H$7:$H$32,B73)</f>
        <v>0</v>
      </c>
      <c r="S73" s="3">
        <f>COUNTIFS('Product decisions'!$A$7:$A$32,A73,'Product decisions'!$I$7:$I$32,B73)</f>
        <v>0</v>
      </c>
      <c r="T73" s="3">
        <f>COUNTIFS('Product decisions'!$A$7:$A$32,A73,'Product decisions'!$J$7:$J$32,B73)</f>
        <v>1</v>
      </c>
      <c r="U73" s="26">
        <f t="shared" si="12"/>
        <v>0</v>
      </c>
      <c r="V73" s="3">
        <f>'Source data'!D14</f>
        <v>1</v>
      </c>
      <c r="W73" s="27">
        <f t="shared" si="9"/>
        <v>0.04033917156</v>
      </c>
      <c r="X73" s="27">
        <f t="shared" si="10"/>
        <v>0.04203482143</v>
      </c>
    </row>
    <row r="74" ht="33.75" customHeight="1">
      <c r="A74" s="9" t="s">
        <v>82</v>
      </c>
      <c r="B74" s="3" t="s">
        <v>80</v>
      </c>
      <c r="C74" s="3" t="s">
        <v>52</v>
      </c>
      <c r="D74" s="43">
        <f>Assumptions!B28</f>
        <v>20000</v>
      </c>
      <c r="E74" s="44">
        <f>'Source data'!E14</f>
        <v>59</v>
      </c>
      <c r="F74" s="44">
        <f>'Source data'!F14</f>
        <v>35</v>
      </c>
      <c r="G74" s="51">
        <f>IF(B74="In-Store",'Source data'!J14+Assumptions!$B$15*'Source data'!K14,'Source data'!K14+Assumptions!$B$15*'Source data'!J14)*'Source data'!H14/'Source data'!G14*Assumptions!B8</f>
        <v>8032.5</v>
      </c>
      <c r="H74" s="51">
        <f t="shared" si="1"/>
        <v>8032.5</v>
      </c>
      <c r="I74" s="51">
        <f>(D74-H74)*Assumptions!C8</f>
        <v>5983.75</v>
      </c>
      <c r="J74" s="51">
        <f t="shared" si="2"/>
        <v>5983.75</v>
      </c>
      <c r="K74" s="26">
        <f>E74*(H74+I74*Assumptions!D8)</f>
        <v>650438.125</v>
      </c>
      <c r="L74" s="26">
        <f t="shared" si="3"/>
        <v>700000</v>
      </c>
      <c r="M74" s="26">
        <f t="shared" si="4"/>
        <v>159869.375</v>
      </c>
      <c r="N74" s="26">
        <f t="shared" si="5"/>
        <v>-49561.875</v>
      </c>
      <c r="O74" s="26">
        <f t="shared" si="6"/>
        <v>209431.25</v>
      </c>
      <c r="P74" s="26">
        <f t="shared" si="7"/>
        <v>0</v>
      </c>
      <c r="Q74" s="3">
        <f>COUNTIFS('Product decisions'!$A$7:$A$32,A74,'Product decisions'!$C$7:$C$32,B74)</f>
        <v>0</v>
      </c>
      <c r="R74" s="3">
        <f>COUNTIFS('Product decisions'!$A$7:$A$32,A74,'Product decisions'!$H$7:$H$32,B74)</f>
        <v>0</v>
      </c>
      <c r="S74" s="3">
        <f>COUNTIFS('Product decisions'!$A$7:$A$32,A74,'Product decisions'!$I$7:$I$32,B74)</f>
        <v>0</v>
      </c>
      <c r="T74" s="3">
        <f>COUNTIFS('Product decisions'!$A$7:$A$32,A74,'Product decisions'!$J$7:$J$32,B74)</f>
        <v>0</v>
      </c>
      <c r="U74" s="26">
        <f t="shared" si="12"/>
        <v>0</v>
      </c>
      <c r="V74" s="3">
        <f>'Source data'!D14</f>
        <v>1</v>
      </c>
      <c r="W74" s="27">
        <f t="shared" si="9"/>
        <v>-0.0761976783</v>
      </c>
      <c r="X74" s="27">
        <f t="shared" si="10"/>
        <v>-0.07080267857</v>
      </c>
    </row>
    <row r="75" ht="33.75" customHeight="1">
      <c r="A75" s="9" t="s">
        <v>83</v>
      </c>
      <c r="B75" s="3" t="s">
        <v>56</v>
      </c>
      <c r="C75" s="3" t="s">
        <v>52</v>
      </c>
      <c r="D75" s="43">
        <f>Assumptions!B29</f>
        <v>30000</v>
      </c>
      <c r="E75" s="44">
        <f>'Source data'!E15</f>
        <v>24.98</v>
      </c>
      <c r="F75" s="44">
        <f>'Source data'!F15</f>
        <v>4.25</v>
      </c>
      <c r="G75" s="51">
        <f>IF(B75="In-Store",'Source data'!J15+Assumptions!$B$15*'Source data'!K15,'Source data'!K15+Assumptions!$B$15*'Source data'!J15)*'Source data'!H15/'Source data'!G15*Assumptions!B8</f>
        <v>14280</v>
      </c>
      <c r="H75" s="51">
        <f t="shared" si="1"/>
        <v>14280</v>
      </c>
      <c r="I75" s="51">
        <f>(D75-H75)*Assumptions!C8</f>
        <v>7860</v>
      </c>
      <c r="J75" s="51">
        <f t="shared" si="2"/>
        <v>7860</v>
      </c>
      <c r="K75" s="26">
        <f>E75*(H75+I75*Assumptions!D8)</f>
        <v>454885.8</v>
      </c>
      <c r="L75" s="26">
        <f t="shared" si="3"/>
        <v>127500</v>
      </c>
      <c r="M75" s="26">
        <f t="shared" si="4"/>
        <v>360790.8</v>
      </c>
      <c r="N75" s="26">
        <f t="shared" si="5"/>
        <v>327385.8</v>
      </c>
      <c r="O75" s="26">
        <f t="shared" si="6"/>
        <v>33405</v>
      </c>
      <c r="P75" s="26">
        <f t="shared" si="7"/>
        <v>327385.8</v>
      </c>
      <c r="Q75" s="3">
        <f>COUNTIFS('Product decisions'!$A$7:$A$32,A75,'Product decisions'!$C$7:$C$32,B75)</f>
        <v>1</v>
      </c>
      <c r="R75" s="3">
        <f>COUNTIFS('Product decisions'!$A$7:$A$32,A75,'Product decisions'!$H$7:$H$32,B75)</f>
        <v>1</v>
      </c>
      <c r="S75" s="3">
        <f>COUNTIFS('Product decisions'!$A$7:$A$32,A75,'Product decisions'!$I$7:$I$32,B75)</f>
        <v>1</v>
      </c>
      <c r="T75" s="3">
        <f>COUNTIFS('Product decisions'!$A$7:$A$32,A75,'Product decisions'!$J$7:$J$32,B75)</f>
        <v>1</v>
      </c>
      <c r="U75" s="26">
        <f t="shared" si="12"/>
        <v>0</v>
      </c>
      <c r="V75" s="3">
        <f>'Source data'!D15</f>
        <v>1</v>
      </c>
      <c r="W75" s="27">
        <f t="shared" si="9"/>
        <v>0.71970987</v>
      </c>
      <c r="X75" s="27">
        <f t="shared" si="10"/>
        <v>2.567731765</v>
      </c>
    </row>
    <row r="76" ht="33.75" customHeight="1">
      <c r="A76" s="9" t="s">
        <v>83</v>
      </c>
      <c r="B76" s="3" t="s">
        <v>80</v>
      </c>
      <c r="C76" s="3" t="s">
        <v>52</v>
      </c>
      <c r="D76" s="43">
        <f>Assumptions!B29</f>
        <v>30000</v>
      </c>
      <c r="E76" s="44">
        <f>'Source data'!E15</f>
        <v>24.98</v>
      </c>
      <c r="F76" s="44">
        <f>'Source data'!F15</f>
        <v>4.25</v>
      </c>
      <c r="G76" s="51">
        <f>IF(B76="In-Store",'Source data'!J15+Assumptions!$B$15*'Source data'!K15,'Source data'!K15+Assumptions!$B$15*'Source data'!J15)*'Source data'!H15/'Source data'!G15*Assumptions!B8</f>
        <v>10920</v>
      </c>
      <c r="H76" s="51">
        <f t="shared" si="1"/>
        <v>10920</v>
      </c>
      <c r="I76" s="51">
        <f>(D76-H76)*Assumptions!C8</f>
        <v>9540</v>
      </c>
      <c r="J76" s="51">
        <f t="shared" si="2"/>
        <v>9540</v>
      </c>
      <c r="K76" s="26">
        <f>E76*(H76+I76*Assumptions!D8)</f>
        <v>391936.2</v>
      </c>
      <c r="L76" s="26">
        <f t="shared" si="3"/>
        <v>127500</v>
      </c>
      <c r="M76" s="26">
        <f t="shared" si="4"/>
        <v>304981.2</v>
      </c>
      <c r="N76" s="26">
        <f t="shared" si="5"/>
        <v>264436.2</v>
      </c>
      <c r="O76" s="26">
        <f t="shared" si="6"/>
        <v>40545</v>
      </c>
      <c r="P76" s="26">
        <f t="shared" si="7"/>
        <v>0</v>
      </c>
      <c r="Q76" s="3">
        <f>COUNTIFS('Product decisions'!$A$7:$A$32,A76,'Product decisions'!$C$7:$C$32,B76)</f>
        <v>0</v>
      </c>
      <c r="R76" s="3">
        <f>COUNTIFS('Product decisions'!$A$7:$A$32,A76,'Product decisions'!$H$7:$H$32,B76)</f>
        <v>0</v>
      </c>
      <c r="S76" s="3">
        <f>COUNTIFS('Product decisions'!$A$7:$A$32,A76,'Product decisions'!$I$7:$I$32,B76)</f>
        <v>0</v>
      </c>
      <c r="T76" s="3">
        <f>COUNTIFS('Product decisions'!$A$7:$A$32,A76,'Product decisions'!$J$7:$J$32,B76)</f>
        <v>0</v>
      </c>
      <c r="U76" s="26">
        <f t="shared" si="12"/>
        <v>0</v>
      </c>
      <c r="V76" s="3">
        <f>'Source data'!D15</f>
        <v>1</v>
      </c>
      <c r="W76" s="27">
        <f t="shared" si="9"/>
        <v>0.6746919524</v>
      </c>
      <c r="X76" s="27">
        <f t="shared" si="10"/>
        <v>2.074009412</v>
      </c>
    </row>
    <row r="77" ht="33.75" customHeight="1">
      <c r="A77" s="9" t="s">
        <v>85</v>
      </c>
      <c r="B77" s="3" t="s">
        <v>56</v>
      </c>
      <c r="C77" s="3" t="s">
        <v>52</v>
      </c>
      <c r="D77" s="43">
        <f>Assumptions!B30</f>
        <v>7000</v>
      </c>
      <c r="E77" s="44">
        <f>'Source data'!E16</f>
        <v>149</v>
      </c>
      <c r="F77" s="44">
        <f>'Source data'!F16</f>
        <v>52</v>
      </c>
      <c r="G77" s="51">
        <f>IF(B77="In-Store",'Source data'!J16+Assumptions!$B$15*'Source data'!K16,'Source data'!K16+Assumptions!$B$15*'Source data'!J16)*'Source data'!H16/'Source data'!G16*Assumptions!B8</f>
        <v>2842</v>
      </c>
      <c r="H77" s="51">
        <f t="shared" si="1"/>
        <v>2842</v>
      </c>
      <c r="I77" s="51">
        <f>(D77-H77)*Assumptions!C8</f>
        <v>2079</v>
      </c>
      <c r="J77" s="51">
        <f t="shared" si="2"/>
        <v>2079</v>
      </c>
      <c r="K77" s="26">
        <f>E77*(H77+I77*Assumptions!D8)</f>
        <v>578343.5</v>
      </c>
      <c r="L77" s="26">
        <f t="shared" si="3"/>
        <v>364000</v>
      </c>
      <c r="M77" s="26">
        <f t="shared" si="4"/>
        <v>322451.5</v>
      </c>
      <c r="N77" s="26">
        <f t="shared" si="5"/>
        <v>214343.5</v>
      </c>
      <c r="O77" s="26">
        <f t="shared" si="6"/>
        <v>108108</v>
      </c>
      <c r="P77" s="26">
        <f t="shared" si="7"/>
        <v>214343.5</v>
      </c>
      <c r="Q77" s="3">
        <f>COUNTIFS('Product decisions'!$A$7:$A$32,A77,'Product decisions'!$C$7:$C$32,B77)</f>
        <v>1</v>
      </c>
      <c r="R77" s="3">
        <f>COUNTIFS('Product decisions'!$A$7:$A$32,A77,'Product decisions'!$H$7:$H$32,B77)</f>
        <v>1</v>
      </c>
      <c r="S77" s="3">
        <f>COUNTIFS('Product decisions'!$A$7:$A$32,A77,'Product decisions'!$I$7:$I$32,B77)</f>
        <v>1</v>
      </c>
      <c r="T77" s="3">
        <f>COUNTIFS('Product decisions'!$A$7:$A$32,A77,'Product decisions'!$J$7:$J$32,B77)</f>
        <v>1</v>
      </c>
      <c r="U77" s="26">
        <f t="shared" si="12"/>
        <v>0</v>
      </c>
      <c r="V77" s="3">
        <f>'Source data'!D16</f>
        <v>1</v>
      </c>
      <c r="W77" s="27">
        <f t="shared" si="9"/>
        <v>0.3706162514</v>
      </c>
      <c r="X77" s="27">
        <f t="shared" si="10"/>
        <v>0.5888557692</v>
      </c>
    </row>
    <row r="78" ht="33.75" customHeight="1">
      <c r="A78" s="9" t="s">
        <v>85</v>
      </c>
      <c r="B78" s="3" t="s">
        <v>80</v>
      </c>
      <c r="C78" s="3" t="s">
        <v>52</v>
      </c>
      <c r="D78" s="43">
        <f>Assumptions!B30</f>
        <v>7000</v>
      </c>
      <c r="E78" s="44">
        <f>'Source data'!E16</f>
        <v>149</v>
      </c>
      <c r="F78" s="44">
        <f>'Source data'!F16</f>
        <v>52</v>
      </c>
      <c r="G78" s="51">
        <f>IF(B78="In-Store",'Source data'!J16+Assumptions!$B$15*'Source data'!K16,'Source data'!K16+Assumptions!$B$15*'Source data'!J16)*'Source data'!H16/'Source data'!G16*Assumptions!B8</f>
        <v>3038</v>
      </c>
      <c r="H78" s="51">
        <f t="shared" si="1"/>
        <v>3038</v>
      </c>
      <c r="I78" s="51">
        <f>(D78-H78)*Assumptions!C8</f>
        <v>1981</v>
      </c>
      <c r="J78" s="51">
        <f t="shared" si="2"/>
        <v>1981</v>
      </c>
      <c r="K78" s="26">
        <f>E78*(H78+I78*Assumptions!D8)</f>
        <v>600246.5</v>
      </c>
      <c r="L78" s="26">
        <f t="shared" si="3"/>
        <v>364000</v>
      </c>
      <c r="M78" s="26">
        <f t="shared" si="4"/>
        <v>339258.5</v>
      </c>
      <c r="N78" s="26">
        <f t="shared" si="5"/>
        <v>236246.5</v>
      </c>
      <c r="O78" s="26">
        <f t="shared" si="6"/>
        <v>103012</v>
      </c>
      <c r="P78" s="26">
        <f t="shared" si="7"/>
        <v>0</v>
      </c>
      <c r="Q78" s="3">
        <f>COUNTIFS('Product decisions'!$A$7:$A$32,A78,'Product decisions'!$C$7:$C$32,B78)</f>
        <v>0</v>
      </c>
      <c r="R78" s="3">
        <f>COUNTIFS('Product decisions'!$A$7:$A$32,A78,'Product decisions'!$H$7:$H$32,B78)</f>
        <v>0</v>
      </c>
      <c r="S78" s="3">
        <f>COUNTIFS('Product decisions'!$A$7:$A$32,A78,'Product decisions'!$I$7:$I$32,B78)</f>
        <v>0</v>
      </c>
      <c r="T78" s="3">
        <f>COUNTIFS('Product decisions'!$A$7:$A$32,A78,'Product decisions'!$J$7:$J$32,B78)</f>
        <v>0</v>
      </c>
      <c r="U78" s="26">
        <f t="shared" si="12"/>
        <v>0</v>
      </c>
      <c r="V78" s="3">
        <f>'Source data'!D16</f>
        <v>1</v>
      </c>
      <c r="W78" s="27">
        <f t="shared" si="9"/>
        <v>0.3935824699</v>
      </c>
      <c r="X78" s="27">
        <f t="shared" si="10"/>
        <v>0.6490288462</v>
      </c>
    </row>
    <row r="79" ht="33.75" customHeight="1">
      <c r="A79" s="9" t="s">
        <v>86</v>
      </c>
      <c r="B79" s="3" t="s">
        <v>56</v>
      </c>
      <c r="C79" s="3" t="s">
        <v>52</v>
      </c>
      <c r="D79" s="43">
        <f>Assumptions!B31</f>
        <v>25000</v>
      </c>
      <c r="E79" s="44">
        <f>'Source data'!E17</f>
        <v>59</v>
      </c>
      <c r="F79" s="44">
        <f>'Source data'!F17</f>
        <v>37</v>
      </c>
      <c r="G79" s="51">
        <f>IF(B79="In-Store",'Source data'!J17+Assumptions!$B$15*'Source data'!K17,'Source data'!K17+Assumptions!$B$15*'Source data'!J17)*'Source data'!H17/'Source data'!G17*Assumptions!B8</f>
        <v>4480</v>
      </c>
      <c r="H79" s="51">
        <f t="shared" si="1"/>
        <v>4480</v>
      </c>
      <c r="I79" s="51">
        <f>(D79-H79)*Assumptions!C8</f>
        <v>10260</v>
      </c>
      <c r="J79" s="51">
        <f t="shared" si="2"/>
        <v>10260</v>
      </c>
      <c r="K79" s="26">
        <f>E79*(H79+I79*Assumptions!D8)</f>
        <v>566990</v>
      </c>
      <c r="L79" s="26">
        <f t="shared" si="3"/>
        <v>925000</v>
      </c>
      <c r="M79" s="26">
        <f t="shared" si="4"/>
        <v>21610</v>
      </c>
      <c r="N79" s="26">
        <f t="shared" si="5"/>
        <v>-358010</v>
      </c>
      <c r="O79" s="26">
        <f t="shared" si="6"/>
        <v>379620</v>
      </c>
      <c r="P79" s="26">
        <f t="shared" si="7"/>
        <v>-358010</v>
      </c>
      <c r="Q79" s="3">
        <f>COUNTIFS('Product decisions'!$A$7:$A$32,A79,'Product decisions'!$C$7:$C$32,B79)</f>
        <v>0</v>
      </c>
      <c r="R79" s="3">
        <f>COUNTIFS('Product decisions'!$A$7:$A$32,A79,'Product decisions'!$H$7:$H$32,B79)</f>
        <v>0</v>
      </c>
      <c r="S79" s="3">
        <f>COUNTIFS('Product decisions'!$A$7:$A$32,A79,'Product decisions'!$I$7:$I$32,B79)</f>
        <v>0</v>
      </c>
      <c r="T79" s="3">
        <f>COUNTIFS('Product decisions'!$A$7:$A$32,A79,'Product decisions'!$J$7:$J$32,B79)</f>
        <v>0</v>
      </c>
      <c r="U79" s="26">
        <f t="shared" si="12"/>
        <v>0</v>
      </c>
      <c r="V79" s="3">
        <f>'Source data'!D17</f>
        <v>1</v>
      </c>
      <c r="W79" s="27">
        <f t="shared" si="9"/>
        <v>-0.6314220709</v>
      </c>
      <c r="X79" s="27">
        <f t="shared" si="10"/>
        <v>-0.3870378378</v>
      </c>
    </row>
    <row r="80" ht="33.75" customHeight="1">
      <c r="A80" s="9" t="s">
        <v>86</v>
      </c>
      <c r="B80" s="3" t="s">
        <v>80</v>
      </c>
      <c r="C80" s="3" t="s">
        <v>52</v>
      </c>
      <c r="D80" s="43">
        <f>Assumptions!B31</f>
        <v>25000</v>
      </c>
      <c r="E80" s="44">
        <f>'Source data'!E17</f>
        <v>59</v>
      </c>
      <c r="F80" s="44">
        <f>'Source data'!F17</f>
        <v>37</v>
      </c>
      <c r="G80" s="51">
        <f>IF(B80="In-Store",'Source data'!J17+Assumptions!$B$15*'Source data'!K17,'Source data'!K17+Assumptions!$B$15*'Source data'!J17)*'Source data'!H17/'Source data'!G17*Assumptions!B8</f>
        <v>3920</v>
      </c>
      <c r="H80" s="51">
        <f t="shared" si="1"/>
        <v>3920</v>
      </c>
      <c r="I80" s="51">
        <f>(D80-H80)*Assumptions!C8</f>
        <v>10540</v>
      </c>
      <c r="J80" s="51">
        <f t="shared" si="2"/>
        <v>10540</v>
      </c>
      <c r="K80" s="26">
        <f>E80*(H80+I80*Assumptions!D8)</f>
        <v>542210</v>
      </c>
      <c r="L80" s="26">
        <f t="shared" si="3"/>
        <v>925000</v>
      </c>
      <c r="M80" s="26">
        <f t="shared" si="4"/>
        <v>7190</v>
      </c>
      <c r="N80" s="26">
        <f t="shared" si="5"/>
        <v>-382790</v>
      </c>
      <c r="O80" s="26">
        <f t="shared" si="6"/>
        <v>389980</v>
      </c>
      <c r="P80" s="26">
        <f t="shared" si="7"/>
        <v>0</v>
      </c>
      <c r="Q80" s="3">
        <f>COUNTIFS('Product decisions'!$A$7:$A$32,A80,'Product decisions'!$C$7:$C$32,B80)</f>
        <v>0</v>
      </c>
      <c r="R80" s="3">
        <f>COUNTIFS('Product decisions'!$A$7:$A$32,A80,'Product decisions'!$H$7:$H$32,B80)</f>
        <v>0</v>
      </c>
      <c r="S80" s="3">
        <f>COUNTIFS('Product decisions'!$A$7:$A$32,A80,'Product decisions'!$I$7:$I$32,B80)</f>
        <v>0</v>
      </c>
      <c r="T80" s="3">
        <f>COUNTIFS('Product decisions'!$A$7:$A$32,A80,'Product decisions'!$J$7:$J$32,B80)</f>
        <v>0</v>
      </c>
      <c r="U80" s="26">
        <f t="shared" si="12"/>
        <v>0</v>
      </c>
      <c r="V80" s="3">
        <f>'Source data'!D17</f>
        <v>1</v>
      </c>
      <c r="W80" s="27">
        <f t="shared" si="9"/>
        <v>-0.7059810774</v>
      </c>
      <c r="X80" s="27">
        <f t="shared" si="10"/>
        <v>-0.413827027</v>
      </c>
    </row>
    <row r="81" ht="33.75" customHeight="1">
      <c r="A81" s="9" t="s">
        <v>88</v>
      </c>
      <c r="B81" s="3" t="s">
        <v>56</v>
      </c>
      <c r="C81" s="3" t="s">
        <v>52</v>
      </c>
      <c r="D81" s="43">
        <f>Assumptions!B32</f>
        <v>18000</v>
      </c>
      <c r="E81" s="44">
        <f>'Source data'!E18</f>
        <v>34.98</v>
      </c>
      <c r="F81" s="44">
        <f>'Source data'!F18</f>
        <v>12</v>
      </c>
      <c r="G81" s="51">
        <f>IF(B81="In-Store",'Source data'!J18+Assumptions!$B$15*'Source data'!K18,'Source data'!K18+Assumptions!$B$15*'Source data'!J18)*'Source data'!H18/'Source data'!G18*Assumptions!B8</f>
        <v>9103.5</v>
      </c>
      <c r="H81" s="51">
        <f t="shared" si="1"/>
        <v>9103.5</v>
      </c>
      <c r="I81" s="51">
        <f>(D81-H81)*Assumptions!C8</f>
        <v>4448.25</v>
      </c>
      <c r="J81" s="51">
        <f t="shared" si="2"/>
        <v>4448.25</v>
      </c>
      <c r="K81" s="26">
        <f>E81*(H81+I81*Assumptions!D8)</f>
        <v>396240.3225</v>
      </c>
      <c r="L81" s="26">
        <f t="shared" si="3"/>
        <v>216000</v>
      </c>
      <c r="M81" s="26">
        <f t="shared" si="4"/>
        <v>233619.3225</v>
      </c>
      <c r="N81" s="26">
        <f t="shared" si="5"/>
        <v>180240.3225</v>
      </c>
      <c r="O81" s="26">
        <f t="shared" si="6"/>
        <v>53379</v>
      </c>
      <c r="P81" s="26">
        <f t="shared" si="7"/>
        <v>180240.3225</v>
      </c>
      <c r="Q81" s="3">
        <f>COUNTIFS('Product decisions'!$A$7:$A$32,A81,'Product decisions'!$C$7:$C$32,B81)</f>
        <v>1</v>
      </c>
      <c r="R81" s="3">
        <f>COUNTIFS('Product decisions'!$A$7:$A$32,A81,'Product decisions'!$H$7:$H$32,B81)</f>
        <v>1</v>
      </c>
      <c r="S81" s="3">
        <f>COUNTIFS('Product decisions'!$A$7:$A$32,A81,'Product decisions'!$I$7:$I$32,B81)</f>
        <v>1</v>
      </c>
      <c r="T81" s="3">
        <f>COUNTIFS('Product decisions'!$A$7:$A$32,A81,'Product decisions'!$J$7:$J$32,B81)</f>
        <v>1</v>
      </c>
      <c r="U81" s="26">
        <f t="shared" si="12"/>
        <v>0</v>
      </c>
      <c r="V81" s="3">
        <f>'Source data'!D18</f>
        <v>1</v>
      </c>
      <c r="W81" s="27">
        <f t="shared" si="9"/>
        <v>0.4548762765</v>
      </c>
      <c r="X81" s="27">
        <f t="shared" si="10"/>
        <v>0.8344459375</v>
      </c>
    </row>
    <row r="82" ht="33.75" customHeight="1">
      <c r="A82" s="9" t="s">
        <v>88</v>
      </c>
      <c r="B82" s="3" t="s">
        <v>80</v>
      </c>
      <c r="C82" s="3" t="s">
        <v>52</v>
      </c>
      <c r="D82" s="43">
        <f>Assumptions!B32</f>
        <v>18000</v>
      </c>
      <c r="E82" s="44">
        <f>'Source data'!E18</f>
        <v>34.98</v>
      </c>
      <c r="F82" s="44">
        <f>'Source data'!F18</f>
        <v>12</v>
      </c>
      <c r="G82" s="51">
        <f>IF(B82="In-Store",'Source data'!J18+Assumptions!$B$15*'Source data'!K18,'Source data'!K18+Assumptions!$B$15*'Source data'!J18)*'Source data'!H18/'Source data'!G18*Assumptions!B8</f>
        <v>6961.5</v>
      </c>
      <c r="H82" s="51">
        <f t="shared" si="1"/>
        <v>6961.5</v>
      </c>
      <c r="I82" s="51">
        <f>(D82-H82)*Assumptions!C8</f>
        <v>5519.25</v>
      </c>
      <c r="J82" s="51">
        <f t="shared" si="2"/>
        <v>5519.25</v>
      </c>
      <c r="K82" s="26">
        <f>E82*(H82+I82*Assumptions!D8)</f>
        <v>340044.9525</v>
      </c>
      <c r="L82" s="26">
        <f t="shared" si="3"/>
        <v>216000</v>
      </c>
      <c r="M82" s="26">
        <f t="shared" si="4"/>
        <v>190275.9525</v>
      </c>
      <c r="N82" s="26">
        <f t="shared" si="5"/>
        <v>124044.9525</v>
      </c>
      <c r="O82" s="26">
        <f t="shared" si="6"/>
        <v>66231</v>
      </c>
      <c r="P82" s="26">
        <f t="shared" si="7"/>
        <v>0</v>
      </c>
      <c r="Q82" s="3">
        <f>COUNTIFS('Product decisions'!$A$7:$A$32,A82,'Product decisions'!$C$7:$C$32,B82)</f>
        <v>0</v>
      </c>
      <c r="R82" s="3">
        <f>COUNTIFS('Product decisions'!$A$7:$A$32,A82,'Product decisions'!$H$7:$H$32,B82)</f>
        <v>0</v>
      </c>
      <c r="S82" s="3">
        <f>COUNTIFS('Product decisions'!$A$7:$A$32,A82,'Product decisions'!$I$7:$I$32,B82)</f>
        <v>0</v>
      </c>
      <c r="T82" s="3">
        <f>COUNTIFS('Product decisions'!$A$7:$A$32,A82,'Product decisions'!$J$7:$J$32,B82)</f>
        <v>0</v>
      </c>
      <c r="U82" s="26">
        <f t="shared" si="12"/>
        <v>0</v>
      </c>
      <c r="V82" s="3">
        <f>'Source data'!D18</f>
        <v>1</v>
      </c>
      <c r="W82" s="27">
        <f t="shared" si="9"/>
        <v>0.3647898655</v>
      </c>
      <c r="X82" s="27">
        <f t="shared" si="10"/>
        <v>0.5742821875</v>
      </c>
    </row>
    <row r="83" ht="33.75" customHeight="1">
      <c r="A83" s="9" t="s">
        <v>91</v>
      </c>
      <c r="B83" s="3" t="s">
        <v>56</v>
      </c>
      <c r="C83" s="3" t="s">
        <v>52</v>
      </c>
      <c r="D83" s="43">
        <f>Assumptions!B33</f>
        <v>6000</v>
      </c>
      <c r="E83" s="44">
        <f>'Source data'!E19</f>
        <v>199</v>
      </c>
      <c r="F83" s="44">
        <f>'Source data'!F19</f>
        <v>95</v>
      </c>
      <c r="G83" s="51">
        <f>IF(B83="In-Store",'Source data'!J19+Assumptions!$B$15*'Source data'!K19,'Source data'!K19+Assumptions!$B$15*'Source data'!J19)*'Source data'!H19/'Source data'!G19*Assumptions!B8</f>
        <v>1785</v>
      </c>
      <c r="H83" s="51">
        <f t="shared" si="1"/>
        <v>1785</v>
      </c>
      <c r="I83" s="51">
        <f>(D83-H83)*Assumptions!C8</f>
        <v>2107.5</v>
      </c>
      <c r="J83" s="51">
        <f t="shared" si="2"/>
        <v>2107.5</v>
      </c>
      <c r="K83" s="26">
        <f>E83*(H83+I83*Assumptions!D8)</f>
        <v>564911.25</v>
      </c>
      <c r="L83" s="26">
        <f t="shared" si="3"/>
        <v>570000</v>
      </c>
      <c r="M83" s="26">
        <f t="shared" si="4"/>
        <v>195123.75</v>
      </c>
      <c r="N83" s="26">
        <f t="shared" si="5"/>
        <v>-5088.75</v>
      </c>
      <c r="O83" s="26">
        <f t="shared" si="6"/>
        <v>200212.5</v>
      </c>
      <c r="P83" s="26">
        <f t="shared" si="7"/>
        <v>-1696.25</v>
      </c>
      <c r="Q83" s="3">
        <f>COUNTIFS('Product decisions'!$A$7:$A$32,A83,'Product decisions'!$C$7:$C$32,B83)</f>
        <v>0</v>
      </c>
      <c r="R83" s="3">
        <f>COUNTIFS('Product decisions'!$A$7:$A$32,A83,'Product decisions'!$H$7:$H$32,B83)</f>
        <v>0</v>
      </c>
      <c r="S83" s="3">
        <f>COUNTIFS('Product decisions'!$A$7:$A$32,A83,'Product decisions'!$I$7:$I$32,B83)</f>
        <v>1</v>
      </c>
      <c r="T83" s="3">
        <f>COUNTIFS('Product decisions'!$A$7:$A$32,A83,'Product decisions'!$J$7:$J$32,B83)</f>
        <v>0</v>
      </c>
      <c r="U83" s="26">
        <f t="shared" si="12"/>
        <v>0</v>
      </c>
      <c r="V83" s="3">
        <f>'Source data'!D19</f>
        <v>3</v>
      </c>
      <c r="W83" s="27">
        <f t="shared" si="9"/>
        <v>-0.00900805215</v>
      </c>
      <c r="X83" s="27">
        <f t="shared" si="10"/>
        <v>-0.008927631579</v>
      </c>
    </row>
    <row r="84" ht="33.75" customHeight="1">
      <c r="A84" s="9" t="s">
        <v>91</v>
      </c>
      <c r="B84" s="3" t="s">
        <v>80</v>
      </c>
      <c r="C84" s="3" t="s">
        <v>52</v>
      </c>
      <c r="D84" s="43">
        <f>Assumptions!B33</f>
        <v>6000</v>
      </c>
      <c r="E84" s="44">
        <f>'Source data'!E19</f>
        <v>199</v>
      </c>
      <c r="F84" s="44">
        <f>'Source data'!F19</f>
        <v>95</v>
      </c>
      <c r="G84" s="51">
        <f>IF(B84="In-Store",'Source data'!J19+Assumptions!$B$15*'Source data'!K19,'Source data'!K19+Assumptions!$B$15*'Source data'!J19)*'Source data'!H19/'Source data'!G19*Assumptions!B8</f>
        <v>3570</v>
      </c>
      <c r="H84" s="51">
        <f t="shared" si="1"/>
        <v>3570</v>
      </c>
      <c r="I84" s="51">
        <f>(D84-H84)*Assumptions!C8</f>
        <v>1215</v>
      </c>
      <c r="J84" s="51">
        <f t="shared" si="2"/>
        <v>1215</v>
      </c>
      <c r="K84" s="26">
        <f>E84*(H84+I84*Assumptions!D8)</f>
        <v>831322.5</v>
      </c>
      <c r="L84" s="26">
        <f t="shared" si="3"/>
        <v>570000</v>
      </c>
      <c r="M84" s="26">
        <f t="shared" si="4"/>
        <v>376747.5</v>
      </c>
      <c r="N84" s="26">
        <f t="shared" si="5"/>
        <v>261322.5</v>
      </c>
      <c r="O84" s="26">
        <f t="shared" si="6"/>
        <v>115425</v>
      </c>
      <c r="P84" s="26">
        <f t="shared" si="7"/>
        <v>0</v>
      </c>
      <c r="Q84" s="3">
        <f>COUNTIFS('Product decisions'!$A$7:$A$32,A84,'Product decisions'!$C$7:$C$32,B84)</f>
        <v>1</v>
      </c>
      <c r="R84" s="3">
        <f>COUNTIFS('Product decisions'!$A$7:$A$32,A84,'Product decisions'!$H$7:$H$32,B84)</f>
        <v>1</v>
      </c>
      <c r="S84" s="3">
        <f>COUNTIFS('Product decisions'!$A$7:$A$32,A84,'Product decisions'!$I$7:$I$32,B84)</f>
        <v>0</v>
      </c>
      <c r="T84" s="3">
        <f>COUNTIFS('Product decisions'!$A$7:$A$32,A84,'Product decisions'!$J$7:$J$32,B84)</f>
        <v>1</v>
      </c>
      <c r="U84" s="26">
        <f t="shared" si="12"/>
        <v>0</v>
      </c>
      <c r="V84" s="3">
        <f>'Source data'!D19</f>
        <v>3</v>
      </c>
      <c r="W84" s="27">
        <f t="shared" si="9"/>
        <v>0.3143455157</v>
      </c>
      <c r="X84" s="27">
        <f t="shared" si="10"/>
        <v>0.4584605263</v>
      </c>
    </row>
    <row r="85" ht="33.75" customHeight="1">
      <c r="A85" s="9" t="s">
        <v>93</v>
      </c>
      <c r="B85" s="3" t="s">
        <v>56</v>
      </c>
      <c r="C85" s="3" t="s">
        <v>52</v>
      </c>
      <c r="D85" s="43">
        <f>Assumptions!B34</f>
        <v>4000</v>
      </c>
      <c r="E85" s="44">
        <f>'Source data'!E20</f>
        <v>399</v>
      </c>
      <c r="F85" s="44">
        <f>'Source data'!F20</f>
        <v>150</v>
      </c>
      <c r="G85" s="51">
        <f>IF(B85="In-Store",'Source data'!J20+Assumptions!$B$15*'Source data'!K20,'Source data'!K20+Assumptions!$B$15*'Source data'!J20)*'Source data'!H20/'Source data'!G20*Assumptions!B8</f>
        <v>1260</v>
      </c>
      <c r="H85" s="51">
        <f t="shared" si="1"/>
        <v>1260</v>
      </c>
      <c r="I85" s="51">
        <f>(D85-H85)*Assumptions!C8</f>
        <v>1370</v>
      </c>
      <c r="J85" s="51">
        <f t="shared" si="2"/>
        <v>1370</v>
      </c>
      <c r="K85" s="26">
        <f>E85*(H85+I85*Assumptions!D8)</f>
        <v>776055</v>
      </c>
      <c r="L85" s="26">
        <f t="shared" si="3"/>
        <v>600000</v>
      </c>
      <c r="M85" s="26">
        <f t="shared" si="4"/>
        <v>381555</v>
      </c>
      <c r="N85" s="26">
        <f t="shared" si="5"/>
        <v>176055</v>
      </c>
      <c r="O85" s="26">
        <f t="shared" si="6"/>
        <v>205500</v>
      </c>
      <c r="P85" s="26">
        <f t="shared" si="7"/>
        <v>88027.5</v>
      </c>
      <c r="Q85" s="3">
        <f>COUNTIFS('Product decisions'!$A$7:$A$32,A85,'Product decisions'!$C$7:$C$32,B85)</f>
        <v>0</v>
      </c>
      <c r="R85" s="3">
        <f>COUNTIFS('Product decisions'!$A$7:$A$32,A85,'Product decisions'!$H$7:$H$32,B85)</f>
        <v>0</v>
      </c>
      <c r="S85" s="3">
        <f>COUNTIFS('Product decisions'!$A$7:$A$32,A85,'Product decisions'!$I$7:$I$32,B85)</f>
        <v>0</v>
      </c>
      <c r="T85" s="3">
        <f>COUNTIFS('Product decisions'!$A$7:$A$32,A85,'Product decisions'!$J$7:$J$32,B85)</f>
        <v>0</v>
      </c>
      <c r="U85" s="26">
        <f t="shared" si="12"/>
        <v>0</v>
      </c>
      <c r="V85" s="3">
        <f>'Source data'!D20</f>
        <v>2</v>
      </c>
      <c r="W85" s="27">
        <f t="shared" si="9"/>
        <v>0.2268589211</v>
      </c>
      <c r="X85" s="27">
        <f t="shared" si="10"/>
        <v>0.293425</v>
      </c>
    </row>
    <row r="86" ht="33.75" customHeight="1">
      <c r="A86" s="9" t="s">
        <v>93</v>
      </c>
      <c r="B86" s="3" t="s">
        <v>80</v>
      </c>
      <c r="C86" s="3" t="s">
        <v>52</v>
      </c>
      <c r="D86" s="43">
        <f>Assumptions!B34</f>
        <v>4000</v>
      </c>
      <c r="E86" s="44">
        <f>'Source data'!E20</f>
        <v>399</v>
      </c>
      <c r="F86" s="44">
        <f>'Source data'!F20</f>
        <v>150</v>
      </c>
      <c r="G86" s="51">
        <f>IF(B86="In-Store",'Source data'!J20+Assumptions!$B$15*'Source data'!K20,'Source data'!K20+Assumptions!$B$15*'Source data'!J20)*'Source data'!H20/'Source data'!G20*Assumptions!B8</f>
        <v>2520</v>
      </c>
      <c r="H86" s="51">
        <f t="shared" si="1"/>
        <v>2520</v>
      </c>
      <c r="I86" s="51">
        <f>(D86-H86)*Assumptions!C8</f>
        <v>740</v>
      </c>
      <c r="J86" s="51">
        <f t="shared" si="2"/>
        <v>740</v>
      </c>
      <c r="K86" s="26">
        <f>E86*(H86+I86*Assumptions!D8)</f>
        <v>1153110</v>
      </c>
      <c r="L86" s="26">
        <f t="shared" si="3"/>
        <v>600000</v>
      </c>
      <c r="M86" s="26">
        <f t="shared" si="4"/>
        <v>664110</v>
      </c>
      <c r="N86" s="26">
        <f t="shared" si="5"/>
        <v>553110</v>
      </c>
      <c r="O86" s="26">
        <f t="shared" si="6"/>
        <v>111000</v>
      </c>
      <c r="P86" s="26">
        <f t="shared" si="7"/>
        <v>0</v>
      </c>
      <c r="Q86" s="3">
        <f>COUNTIFS('Product decisions'!$A$7:$A$32,A86,'Product decisions'!$C$7:$C$32,B86)</f>
        <v>1</v>
      </c>
      <c r="R86" s="3">
        <f>COUNTIFS('Product decisions'!$A$7:$A$32,A86,'Product decisions'!$H$7:$H$32,B86)</f>
        <v>1</v>
      </c>
      <c r="S86" s="3">
        <f>COUNTIFS('Product decisions'!$A$7:$A$32,A86,'Product decisions'!$I$7:$I$32,B86)</f>
        <v>1</v>
      </c>
      <c r="T86" s="3">
        <f>COUNTIFS('Product decisions'!$A$7:$A$32,A86,'Product decisions'!$J$7:$J$32,B86)</f>
        <v>1</v>
      </c>
      <c r="U86" s="26">
        <f t="shared" si="12"/>
        <v>0</v>
      </c>
      <c r="V86" s="3">
        <f>'Source data'!D20</f>
        <v>2</v>
      </c>
      <c r="W86" s="27">
        <f t="shared" si="9"/>
        <v>0.4796680282</v>
      </c>
      <c r="X86" s="27">
        <f t="shared" si="10"/>
        <v>0.92185</v>
      </c>
    </row>
    <row r="87" ht="33.75" customHeight="1">
      <c r="A87" s="9" t="s">
        <v>96</v>
      </c>
      <c r="B87" s="3" t="s">
        <v>56</v>
      </c>
      <c r="C87" s="3" t="s">
        <v>52</v>
      </c>
      <c r="D87" s="43">
        <f>Assumptions!B35</f>
        <v>5000</v>
      </c>
      <c r="E87" s="44">
        <f>'Source data'!E21</f>
        <v>79</v>
      </c>
      <c r="F87" s="44">
        <f>'Source data'!F21</f>
        <v>30</v>
      </c>
      <c r="G87" s="51">
        <f>IF(B87="In-Store",'Source data'!J21+Assumptions!$B$15*'Source data'!K21,'Source data'!K21+Assumptions!$B$15*'Source data'!J21)*'Source data'!H21/'Source data'!G21*Assumptions!B8</f>
        <v>1487.5</v>
      </c>
      <c r="H87" s="51">
        <f t="shared" si="1"/>
        <v>1487.5</v>
      </c>
      <c r="I87" s="51">
        <f>(D87-H87)*Assumptions!C8</f>
        <v>1756.25</v>
      </c>
      <c r="J87" s="51">
        <f t="shared" si="2"/>
        <v>1756.25</v>
      </c>
      <c r="K87" s="26">
        <f>E87*(H87+I87*Assumptions!D8)</f>
        <v>186884.375</v>
      </c>
      <c r="L87" s="26">
        <f t="shared" si="3"/>
        <v>150000</v>
      </c>
      <c r="M87" s="26">
        <f t="shared" si="4"/>
        <v>89571.875</v>
      </c>
      <c r="N87" s="26">
        <f t="shared" si="5"/>
        <v>36884.375</v>
      </c>
      <c r="O87" s="26">
        <f t="shared" si="6"/>
        <v>52687.5</v>
      </c>
      <c r="P87" s="26">
        <f t="shared" si="7"/>
        <v>36884.375</v>
      </c>
      <c r="Q87" s="3">
        <f>COUNTIFS('Product decisions'!$A$7:$A$32,A87,'Product decisions'!$C$7:$C$32,B87)</f>
        <v>0</v>
      </c>
      <c r="R87" s="3">
        <f>COUNTIFS('Product decisions'!$A$7:$A$32,A87,'Product decisions'!$H$7:$H$32,B87)</f>
        <v>0</v>
      </c>
      <c r="S87" s="3">
        <f>COUNTIFS('Product decisions'!$A$7:$A$32,A87,'Product decisions'!$I$7:$I$32,B87)</f>
        <v>0</v>
      </c>
      <c r="T87" s="3">
        <f>COUNTIFS('Product decisions'!$A$7:$A$32,A87,'Product decisions'!$J$7:$J$32,B87)</f>
        <v>0</v>
      </c>
      <c r="U87" s="26">
        <f t="shared" si="12"/>
        <v>0</v>
      </c>
      <c r="V87" s="3">
        <f>'Source data'!D21</f>
        <v>1</v>
      </c>
      <c r="W87" s="27">
        <f t="shared" si="9"/>
        <v>0.1973646807</v>
      </c>
      <c r="X87" s="27">
        <f t="shared" si="10"/>
        <v>0.2458958333</v>
      </c>
    </row>
    <row r="88" ht="33.75" customHeight="1">
      <c r="A88" s="9" t="s">
        <v>96</v>
      </c>
      <c r="B88" s="3" t="s">
        <v>80</v>
      </c>
      <c r="C88" s="3" t="s">
        <v>52</v>
      </c>
      <c r="D88" s="43">
        <f>Assumptions!B35</f>
        <v>5000</v>
      </c>
      <c r="E88" s="44">
        <f>'Source data'!E21</f>
        <v>79</v>
      </c>
      <c r="F88" s="44">
        <f>'Source data'!F21</f>
        <v>30</v>
      </c>
      <c r="G88" s="51">
        <f>IF(B88="In-Store",'Source data'!J21+Assumptions!$B$15*'Source data'!K21,'Source data'!K21+Assumptions!$B$15*'Source data'!J21)*'Source data'!H21/'Source data'!G21*Assumptions!B8</f>
        <v>2975</v>
      </c>
      <c r="H88" s="51">
        <f t="shared" si="1"/>
        <v>2975</v>
      </c>
      <c r="I88" s="51">
        <f>(D88-H88)*Assumptions!C8</f>
        <v>1012.5</v>
      </c>
      <c r="J88" s="51">
        <f t="shared" si="2"/>
        <v>1012.5</v>
      </c>
      <c r="K88" s="26">
        <f>E88*(H88+I88*Assumptions!D8)</f>
        <v>275018.75</v>
      </c>
      <c r="L88" s="26">
        <f t="shared" si="3"/>
        <v>150000</v>
      </c>
      <c r="M88" s="26">
        <f t="shared" si="4"/>
        <v>155393.75</v>
      </c>
      <c r="N88" s="26">
        <f t="shared" si="5"/>
        <v>125018.75</v>
      </c>
      <c r="O88" s="26">
        <f t="shared" si="6"/>
        <v>30375</v>
      </c>
      <c r="P88" s="26">
        <f t="shared" si="7"/>
        <v>0</v>
      </c>
      <c r="Q88" s="3">
        <f>COUNTIFS('Product decisions'!$A$7:$A$32,A88,'Product decisions'!$C$7:$C$32,B88)</f>
        <v>0</v>
      </c>
      <c r="R88" s="3">
        <f>COUNTIFS('Product decisions'!$A$7:$A$32,A88,'Product decisions'!$H$7:$H$32,B88)</f>
        <v>0</v>
      </c>
      <c r="S88" s="3">
        <f>COUNTIFS('Product decisions'!$A$7:$A$32,A88,'Product decisions'!$I$7:$I$32,B88)</f>
        <v>1</v>
      </c>
      <c r="T88" s="3">
        <f>COUNTIFS('Product decisions'!$A$7:$A$32,A88,'Product decisions'!$J$7:$J$32,B88)</f>
        <v>1</v>
      </c>
      <c r="U88" s="26">
        <f t="shared" si="12"/>
        <v>0</v>
      </c>
      <c r="V88" s="3">
        <f>'Source data'!D21</f>
        <v>1</v>
      </c>
      <c r="W88" s="27">
        <f t="shared" si="9"/>
        <v>0.4545826421</v>
      </c>
      <c r="X88" s="27">
        <f t="shared" si="10"/>
        <v>0.8334583333</v>
      </c>
    </row>
    <row r="89" ht="33.75" customHeight="1">
      <c r="A89" s="9" t="s">
        <v>98</v>
      </c>
      <c r="B89" s="3" t="s">
        <v>56</v>
      </c>
      <c r="C89" s="3" t="s">
        <v>52</v>
      </c>
      <c r="D89" s="43">
        <f>Assumptions!B36</f>
        <v>9000</v>
      </c>
      <c r="E89" s="44">
        <f>'Source data'!E22</f>
        <v>19.98</v>
      </c>
      <c r="F89" s="44">
        <f>'Source data'!F22</f>
        <v>12</v>
      </c>
      <c r="G89" s="51">
        <f>IF(B89="In-Store",'Source data'!J22+Assumptions!$B$15*'Source data'!K22,'Source data'!K22+Assumptions!$B$15*'Source data'!J22)*'Source data'!H22/'Source data'!G22*Assumptions!B8</f>
        <v>1417.5</v>
      </c>
      <c r="H89" s="51">
        <f t="shared" si="1"/>
        <v>1417.5</v>
      </c>
      <c r="I89" s="51">
        <f>(D89-H89)*Assumptions!C8</f>
        <v>3791.25</v>
      </c>
      <c r="J89" s="51">
        <f t="shared" si="2"/>
        <v>3791.25</v>
      </c>
      <c r="K89" s="26">
        <f>E89*(H89+I89*Assumptions!D8)</f>
        <v>66196.2375</v>
      </c>
      <c r="L89" s="26">
        <f t="shared" si="3"/>
        <v>108000</v>
      </c>
      <c r="M89" s="26">
        <f t="shared" si="4"/>
        <v>3691.2375</v>
      </c>
      <c r="N89" s="26">
        <f t="shared" si="5"/>
        <v>-41803.7625</v>
      </c>
      <c r="O89" s="26">
        <f t="shared" si="6"/>
        <v>45495</v>
      </c>
      <c r="P89" s="26">
        <f t="shared" si="7"/>
        <v>-41803.7625</v>
      </c>
      <c r="Q89" s="3">
        <f>COUNTIFS('Product decisions'!$A$7:$A$32,A89,'Product decisions'!$C$7:$C$32,B89)</f>
        <v>0</v>
      </c>
      <c r="R89" s="3">
        <f>COUNTIFS('Product decisions'!$A$7:$A$32,A89,'Product decisions'!$H$7:$H$32,B89)</f>
        <v>0</v>
      </c>
      <c r="S89" s="3">
        <f>COUNTIFS('Product decisions'!$A$7:$A$32,A89,'Product decisions'!$I$7:$I$32,B89)</f>
        <v>0</v>
      </c>
      <c r="T89" s="3">
        <f>COUNTIFS('Product decisions'!$A$7:$A$32,A89,'Product decisions'!$J$7:$J$32,B89)</f>
        <v>0</v>
      </c>
      <c r="U89" s="26">
        <f t="shared" si="12"/>
        <v>0</v>
      </c>
      <c r="V89" s="3">
        <f>'Source data'!D22</f>
        <v>1</v>
      </c>
      <c r="W89" s="27">
        <f t="shared" si="9"/>
        <v>-0.6315126672</v>
      </c>
      <c r="X89" s="27">
        <f t="shared" si="10"/>
        <v>-0.387071875</v>
      </c>
    </row>
    <row r="90" ht="33.75" customHeight="1">
      <c r="A90" s="9" t="s">
        <v>98</v>
      </c>
      <c r="B90" s="3" t="s">
        <v>80</v>
      </c>
      <c r="C90" s="3" t="s">
        <v>52</v>
      </c>
      <c r="D90" s="43">
        <f>Assumptions!B36</f>
        <v>9000</v>
      </c>
      <c r="E90" s="44">
        <f>'Source data'!E22</f>
        <v>19.98</v>
      </c>
      <c r="F90" s="44">
        <f>'Source data'!F22</f>
        <v>12</v>
      </c>
      <c r="G90" s="51">
        <f>IF(B90="In-Store",'Source data'!J22+Assumptions!$B$15*'Source data'!K22,'Source data'!K22+Assumptions!$B$15*'Source data'!J22)*'Source data'!H22/'Source data'!G22*Assumptions!B8</f>
        <v>2835</v>
      </c>
      <c r="H90" s="51">
        <f t="shared" si="1"/>
        <v>2835</v>
      </c>
      <c r="I90" s="51">
        <f>(D90-H90)*Assumptions!C8</f>
        <v>3082.5</v>
      </c>
      <c r="J90" s="51">
        <f t="shared" si="2"/>
        <v>3082.5</v>
      </c>
      <c r="K90" s="26">
        <f>E90*(H90+I90*Assumptions!D8)</f>
        <v>87437.475</v>
      </c>
      <c r="L90" s="26">
        <f t="shared" si="3"/>
        <v>108000</v>
      </c>
      <c r="M90" s="26">
        <f t="shared" si="4"/>
        <v>16427.475</v>
      </c>
      <c r="N90" s="26">
        <f t="shared" si="5"/>
        <v>-20562.525</v>
      </c>
      <c r="O90" s="26">
        <f t="shared" si="6"/>
        <v>36990</v>
      </c>
      <c r="P90" s="26">
        <f t="shared" si="7"/>
        <v>0</v>
      </c>
      <c r="Q90" s="3">
        <f>COUNTIFS('Product decisions'!$A$7:$A$32,A90,'Product decisions'!$C$7:$C$32,B90)</f>
        <v>0</v>
      </c>
      <c r="R90" s="3">
        <f>COUNTIFS('Product decisions'!$A$7:$A$32,A90,'Product decisions'!$H$7:$H$32,B90)</f>
        <v>0</v>
      </c>
      <c r="S90" s="3">
        <f>COUNTIFS('Product decisions'!$A$7:$A$32,A90,'Product decisions'!$I$7:$I$32,B90)</f>
        <v>0</v>
      </c>
      <c r="T90" s="3">
        <f>COUNTIFS('Product decisions'!$A$7:$A$32,A90,'Product decisions'!$J$7:$J$32,B90)</f>
        <v>0</v>
      </c>
      <c r="U90" s="26">
        <f t="shared" si="12"/>
        <v>0</v>
      </c>
      <c r="V90" s="3">
        <f>'Source data'!D22</f>
        <v>1</v>
      </c>
      <c r="W90" s="27">
        <f t="shared" si="9"/>
        <v>-0.2351683303</v>
      </c>
      <c r="X90" s="27">
        <f t="shared" si="10"/>
        <v>-0.19039375</v>
      </c>
    </row>
    <row r="91" ht="33.75" customHeight="1">
      <c r="A91" s="9" t="s">
        <v>102</v>
      </c>
      <c r="B91" s="3" t="s">
        <v>56</v>
      </c>
      <c r="C91" s="3" t="s">
        <v>52</v>
      </c>
      <c r="D91" s="43">
        <f>Assumptions!B37</f>
        <v>45000</v>
      </c>
      <c r="E91" s="44">
        <f>'Source data'!E23</f>
        <v>449</v>
      </c>
      <c r="F91" s="44">
        <f>'Source data'!F23</f>
        <v>240</v>
      </c>
      <c r="G91" s="51">
        <f>'Source data'!G23*Assumptions!$B$13*IF(B91="In-Store",1,Assumptions!$B$14)*Assumptions!B8</f>
        <v>25200</v>
      </c>
      <c r="H91" s="51">
        <f t="shared" si="1"/>
        <v>25200</v>
      </c>
      <c r="I91" s="51">
        <f>(D91-H91)*Assumptions!C8</f>
        <v>9900</v>
      </c>
      <c r="J91" s="51">
        <f t="shared" si="2"/>
        <v>9900</v>
      </c>
      <c r="K91" s="26">
        <f>E91*(H91+I91*Assumptions!D8)</f>
        <v>13537350</v>
      </c>
      <c r="L91" s="26">
        <f t="shared" si="3"/>
        <v>10800000</v>
      </c>
      <c r="M91" s="26">
        <f t="shared" si="4"/>
        <v>5113350</v>
      </c>
      <c r="N91" s="26">
        <f t="shared" si="5"/>
        <v>2737350</v>
      </c>
      <c r="O91" s="26">
        <f t="shared" si="6"/>
        <v>2376000</v>
      </c>
      <c r="P91" s="26">
        <f t="shared" si="7"/>
        <v>684337.5</v>
      </c>
      <c r="Q91" s="3">
        <f>COUNTIFS('Product decisions'!$A$7:$A$32,A91,'Product decisions'!$C$7:$C$32,B91)</f>
        <v>0</v>
      </c>
      <c r="R91" s="3">
        <f>COUNTIFS('Product decisions'!$A$7:$A$32,A91,'Product decisions'!$H$7:$H$32,B91)</f>
        <v>1</v>
      </c>
      <c r="S91" s="3">
        <f>COUNTIFS('Product decisions'!$A$7:$A$32,A91,'Product decisions'!$I$7:$I$32,B91)</f>
        <v>0</v>
      </c>
      <c r="T91" s="3">
        <f>COUNTIFS('Product decisions'!$A$7:$A$32,A91,'Product decisions'!$J$7:$J$32,B91)</f>
        <v>0</v>
      </c>
      <c r="U91" s="26">
        <f t="shared" ref="U91:U110" si="13">L91</f>
        <v>10800000</v>
      </c>
      <c r="V91" s="3">
        <f>'Source data'!D23</f>
        <v>4</v>
      </c>
      <c r="W91" s="27">
        <f t="shared" si="9"/>
        <v>0.2022072267</v>
      </c>
      <c r="X91" s="27">
        <f t="shared" si="10"/>
        <v>0.2534583333</v>
      </c>
    </row>
    <row r="92" ht="33.75" customHeight="1">
      <c r="A92" s="9" t="s">
        <v>102</v>
      </c>
      <c r="B92" s="3" t="s">
        <v>80</v>
      </c>
      <c r="C92" s="3" t="s">
        <v>52</v>
      </c>
      <c r="D92" s="43">
        <f>Assumptions!B37</f>
        <v>45000</v>
      </c>
      <c r="E92" s="44">
        <f>'Source data'!E23</f>
        <v>449</v>
      </c>
      <c r="F92" s="44">
        <f>'Source data'!F23</f>
        <v>240</v>
      </c>
      <c r="G92" s="51">
        <f>'Source data'!G23*Assumptions!$B$13*IF(B92="In-Store",1,Assumptions!$B$14)*Assumptions!B8</f>
        <v>20160</v>
      </c>
      <c r="H92" s="51">
        <f t="shared" si="1"/>
        <v>20160</v>
      </c>
      <c r="I92" s="51">
        <f>(D92-H92)*Assumptions!C8</f>
        <v>12420</v>
      </c>
      <c r="J92" s="51">
        <f t="shared" si="2"/>
        <v>12420</v>
      </c>
      <c r="K92" s="26">
        <f>E92*(H92+I92*Assumptions!D8)</f>
        <v>11840130</v>
      </c>
      <c r="L92" s="26">
        <f t="shared" si="3"/>
        <v>10800000</v>
      </c>
      <c r="M92" s="26">
        <f t="shared" si="4"/>
        <v>4020930</v>
      </c>
      <c r="N92" s="26">
        <f t="shared" si="5"/>
        <v>1040130</v>
      </c>
      <c r="O92" s="26">
        <f t="shared" si="6"/>
        <v>2980800</v>
      </c>
      <c r="P92" s="26">
        <f t="shared" si="7"/>
        <v>0</v>
      </c>
      <c r="Q92" s="3">
        <f>COUNTIFS('Product decisions'!$A$7:$A$32,A92,'Product decisions'!$C$7:$C$32,B92)</f>
        <v>0</v>
      </c>
      <c r="R92" s="3">
        <f>COUNTIFS('Product decisions'!$A$7:$A$32,A92,'Product decisions'!$H$7:$H$32,B92)</f>
        <v>0</v>
      </c>
      <c r="S92" s="3">
        <f>COUNTIFS('Product decisions'!$A$7:$A$32,A92,'Product decisions'!$I$7:$I$32,B92)</f>
        <v>0</v>
      </c>
      <c r="T92" s="3">
        <f>COUNTIFS('Product decisions'!$A$7:$A$32,A92,'Product decisions'!$J$7:$J$32,B92)</f>
        <v>0</v>
      </c>
      <c r="U92" s="26">
        <f t="shared" si="13"/>
        <v>10800000</v>
      </c>
      <c r="V92" s="3">
        <f>'Source data'!D23</f>
        <v>4</v>
      </c>
      <c r="W92" s="27">
        <f t="shared" si="9"/>
        <v>0.08784785302</v>
      </c>
      <c r="X92" s="27">
        <f t="shared" si="10"/>
        <v>0.09630833333</v>
      </c>
    </row>
    <row r="93" ht="33.75" customHeight="1">
      <c r="A93" s="9" t="s">
        <v>106</v>
      </c>
      <c r="B93" s="3" t="s">
        <v>56</v>
      </c>
      <c r="C93" s="3" t="s">
        <v>52</v>
      </c>
      <c r="D93" s="43">
        <f>Assumptions!B38</f>
        <v>14000</v>
      </c>
      <c r="E93" s="44">
        <f>'Source data'!E24</f>
        <v>329</v>
      </c>
      <c r="F93" s="44">
        <f>'Source data'!F24</f>
        <v>215</v>
      </c>
      <c r="G93" s="51">
        <f>'Source data'!G24*Assumptions!$B$13*IF(B93="In-Store",1,Assumptions!$B$14)*Assumptions!B8</f>
        <v>7840</v>
      </c>
      <c r="H93" s="51">
        <f t="shared" si="1"/>
        <v>7840</v>
      </c>
      <c r="I93" s="51">
        <f>(D93-H93)*Assumptions!C8</f>
        <v>3080</v>
      </c>
      <c r="J93" s="51">
        <f t="shared" si="2"/>
        <v>3080</v>
      </c>
      <c r="K93" s="26">
        <f>E93*(H93+I93*Assumptions!D8)</f>
        <v>3086020</v>
      </c>
      <c r="L93" s="26">
        <f t="shared" si="3"/>
        <v>3010000</v>
      </c>
      <c r="M93" s="26">
        <f t="shared" si="4"/>
        <v>738220</v>
      </c>
      <c r="N93" s="26">
        <f t="shared" si="5"/>
        <v>76020</v>
      </c>
      <c r="O93" s="26">
        <f t="shared" si="6"/>
        <v>662200</v>
      </c>
      <c r="P93" s="26">
        <f t="shared" si="7"/>
        <v>38010</v>
      </c>
      <c r="Q93" s="3">
        <f>COUNTIFS('Product decisions'!$A$7:$A$32,A93,'Product decisions'!$C$7:$C$32,B93)</f>
        <v>0</v>
      </c>
      <c r="R93" s="3">
        <f>COUNTIFS('Product decisions'!$A$7:$A$32,A93,'Product decisions'!$H$7:$H$32,B93)</f>
        <v>1</v>
      </c>
      <c r="S93" s="3">
        <f>COUNTIFS('Product decisions'!$A$7:$A$32,A93,'Product decisions'!$I$7:$I$32,B93)</f>
        <v>0</v>
      </c>
      <c r="T93" s="3">
        <f>COUNTIFS('Product decisions'!$A$7:$A$32,A93,'Product decisions'!$J$7:$J$32,B93)</f>
        <v>0</v>
      </c>
      <c r="U93" s="26">
        <f t="shared" si="13"/>
        <v>3010000</v>
      </c>
      <c r="V93" s="3">
        <f>'Source data'!D24</f>
        <v>2</v>
      </c>
      <c r="W93" s="27">
        <f t="shared" si="9"/>
        <v>0.02463367055</v>
      </c>
      <c r="X93" s="27">
        <f t="shared" si="10"/>
        <v>0.02525581395</v>
      </c>
    </row>
    <row r="94" ht="33.75" customHeight="1">
      <c r="A94" s="9" t="s">
        <v>106</v>
      </c>
      <c r="B94" s="3" t="s">
        <v>80</v>
      </c>
      <c r="C94" s="3" t="s">
        <v>52</v>
      </c>
      <c r="D94" s="43">
        <f>Assumptions!B38</f>
        <v>14000</v>
      </c>
      <c r="E94" s="44">
        <f>'Source data'!E24</f>
        <v>329</v>
      </c>
      <c r="F94" s="44">
        <f>'Source data'!F24</f>
        <v>215</v>
      </c>
      <c r="G94" s="51">
        <f>'Source data'!G24*Assumptions!$B$13*IF(B94="In-Store",1,Assumptions!$B$14)*Assumptions!B8</f>
        <v>6272</v>
      </c>
      <c r="H94" s="51">
        <f t="shared" si="1"/>
        <v>6272</v>
      </c>
      <c r="I94" s="51">
        <f>(D94-H94)*Assumptions!C8</f>
        <v>3864</v>
      </c>
      <c r="J94" s="51">
        <f t="shared" si="2"/>
        <v>3864</v>
      </c>
      <c r="K94" s="26">
        <f>E94*(H94+I94*Assumptions!D8)</f>
        <v>2699116</v>
      </c>
      <c r="L94" s="26">
        <f t="shared" si="3"/>
        <v>3010000</v>
      </c>
      <c r="M94" s="26">
        <f t="shared" si="4"/>
        <v>519876</v>
      </c>
      <c r="N94" s="26">
        <f t="shared" si="5"/>
        <v>-310884</v>
      </c>
      <c r="O94" s="26">
        <f t="shared" si="6"/>
        <v>830760</v>
      </c>
      <c r="P94" s="26">
        <f t="shared" si="7"/>
        <v>0</v>
      </c>
      <c r="Q94" s="3">
        <f>COUNTIFS('Product decisions'!$A$7:$A$32,A94,'Product decisions'!$C$7:$C$32,B94)</f>
        <v>0</v>
      </c>
      <c r="R94" s="3">
        <f>COUNTIFS('Product decisions'!$A$7:$A$32,A94,'Product decisions'!$H$7:$H$32,B94)</f>
        <v>0</v>
      </c>
      <c r="S94" s="3">
        <f>COUNTIFS('Product decisions'!$A$7:$A$32,A94,'Product decisions'!$I$7:$I$32,B94)</f>
        <v>0</v>
      </c>
      <c r="T94" s="3">
        <f>COUNTIFS('Product decisions'!$A$7:$A$32,A94,'Product decisions'!$J$7:$J$32,B94)</f>
        <v>0</v>
      </c>
      <c r="U94" s="26">
        <f t="shared" si="13"/>
        <v>3010000</v>
      </c>
      <c r="V94" s="3">
        <f>'Source data'!D24</f>
        <v>2</v>
      </c>
      <c r="W94" s="27">
        <f t="shared" si="9"/>
        <v>-0.115179933</v>
      </c>
      <c r="X94" s="27">
        <f t="shared" si="10"/>
        <v>-0.1032837209</v>
      </c>
    </row>
    <row r="95" ht="33.75" customHeight="1">
      <c r="A95" s="9" t="s">
        <v>111</v>
      </c>
      <c r="B95" s="3" t="s">
        <v>56</v>
      </c>
      <c r="C95" s="3" t="s">
        <v>52</v>
      </c>
      <c r="D95" s="43">
        <f>Assumptions!B39</f>
        <v>12000</v>
      </c>
      <c r="E95" s="44">
        <f>'Source data'!E25</f>
        <v>159</v>
      </c>
      <c r="F95" s="44">
        <f>'Source data'!F25</f>
        <v>138</v>
      </c>
      <c r="G95" s="51">
        <f>'Source data'!G25*Assumptions!$B$13*IF(B95="In-Store",1,Assumptions!$B$14)*Assumptions!B8</f>
        <v>6720</v>
      </c>
      <c r="H95" s="51">
        <f t="shared" si="1"/>
        <v>6720</v>
      </c>
      <c r="I95" s="51">
        <f>(D95-H95)*Assumptions!C8</f>
        <v>2640</v>
      </c>
      <c r="J95" s="51">
        <f t="shared" si="2"/>
        <v>2640</v>
      </c>
      <c r="K95" s="26">
        <f>E95*(H95+I95*Assumptions!D8)</f>
        <v>1278360</v>
      </c>
      <c r="L95" s="26">
        <f t="shared" si="3"/>
        <v>1656000</v>
      </c>
      <c r="M95" s="26">
        <f t="shared" si="4"/>
        <v>-13320</v>
      </c>
      <c r="N95" s="26">
        <f t="shared" si="5"/>
        <v>-377640</v>
      </c>
      <c r="O95" s="26">
        <f t="shared" si="6"/>
        <v>364320</v>
      </c>
      <c r="P95" s="26">
        <f t="shared" si="7"/>
        <v>-188820</v>
      </c>
      <c r="Q95" s="3">
        <f>COUNTIFS('Product decisions'!$A$7:$A$32,A95,'Product decisions'!$C$7:$C$32,B95)</f>
        <v>0</v>
      </c>
      <c r="R95" s="3">
        <f>COUNTIFS('Product decisions'!$A$7:$A$32,A95,'Product decisions'!$H$7:$H$32,B95)</f>
        <v>0</v>
      </c>
      <c r="S95" s="3">
        <f>COUNTIFS('Product decisions'!$A$7:$A$32,A95,'Product decisions'!$I$7:$I$32,B95)</f>
        <v>0</v>
      </c>
      <c r="T95" s="3">
        <f>COUNTIFS('Product decisions'!$A$7:$A$32,A95,'Product decisions'!$J$7:$J$32,B95)</f>
        <v>0</v>
      </c>
      <c r="U95" s="26">
        <f t="shared" si="13"/>
        <v>1656000</v>
      </c>
      <c r="V95" s="3">
        <f>'Source data'!D25</f>
        <v>2</v>
      </c>
      <c r="W95" s="27">
        <f t="shared" si="9"/>
        <v>-0.2954097437</v>
      </c>
      <c r="X95" s="27">
        <f t="shared" si="10"/>
        <v>-0.2280434783</v>
      </c>
    </row>
    <row r="96" ht="33.75" customHeight="1">
      <c r="A96" s="9" t="s">
        <v>111</v>
      </c>
      <c r="B96" s="3" t="s">
        <v>80</v>
      </c>
      <c r="C96" s="3" t="s">
        <v>52</v>
      </c>
      <c r="D96" s="43">
        <f>Assumptions!B39</f>
        <v>12000</v>
      </c>
      <c r="E96" s="44">
        <f>'Source data'!E25</f>
        <v>159</v>
      </c>
      <c r="F96" s="44">
        <f>'Source data'!F25</f>
        <v>138</v>
      </c>
      <c r="G96" s="51">
        <f>'Source data'!G25*Assumptions!$B$13*IF(B96="In-Store",1,Assumptions!$B$14)*Assumptions!B8</f>
        <v>5376</v>
      </c>
      <c r="H96" s="51">
        <f t="shared" si="1"/>
        <v>5376</v>
      </c>
      <c r="I96" s="51">
        <f>(D96-H96)*Assumptions!C8</f>
        <v>3312</v>
      </c>
      <c r="J96" s="51">
        <f t="shared" si="2"/>
        <v>3312</v>
      </c>
      <c r="K96" s="26">
        <f>E96*(H96+I96*Assumptions!D8)</f>
        <v>1118088</v>
      </c>
      <c r="L96" s="26">
        <f t="shared" si="3"/>
        <v>1656000</v>
      </c>
      <c r="M96" s="26">
        <f t="shared" si="4"/>
        <v>-80856</v>
      </c>
      <c r="N96" s="26">
        <f t="shared" si="5"/>
        <v>-537912</v>
      </c>
      <c r="O96" s="26">
        <f t="shared" si="6"/>
        <v>457056</v>
      </c>
      <c r="P96" s="26">
        <f t="shared" si="7"/>
        <v>0</v>
      </c>
      <c r="Q96" s="3">
        <f>COUNTIFS('Product decisions'!$A$7:$A$32,A96,'Product decisions'!$C$7:$C$32,B96)</f>
        <v>0</v>
      </c>
      <c r="R96" s="3">
        <f>COUNTIFS('Product decisions'!$A$7:$A$32,A96,'Product decisions'!$H$7:$H$32,B96)</f>
        <v>0</v>
      </c>
      <c r="S96" s="3">
        <f>COUNTIFS('Product decisions'!$A$7:$A$32,A96,'Product decisions'!$I$7:$I$32,B96)</f>
        <v>0</v>
      </c>
      <c r="T96" s="3">
        <f>COUNTIFS('Product decisions'!$A$7:$A$32,A96,'Product decisions'!$J$7:$J$32,B96)</f>
        <v>0</v>
      </c>
      <c r="U96" s="26">
        <f t="shared" si="13"/>
        <v>1656000</v>
      </c>
      <c r="V96" s="3">
        <f>'Source data'!D25</f>
        <v>2</v>
      </c>
      <c r="W96" s="27">
        <f t="shared" si="9"/>
        <v>-0.4810998776</v>
      </c>
      <c r="X96" s="27">
        <f t="shared" si="10"/>
        <v>-0.324826087</v>
      </c>
    </row>
    <row r="97" ht="33.75" customHeight="1">
      <c r="A97" s="9" t="s">
        <v>114</v>
      </c>
      <c r="B97" s="3" t="s">
        <v>56</v>
      </c>
      <c r="C97" s="3" t="s">
        <v>52</v>
      </c>
      <c r="D97" s="43">
        <f>Assumptions!B40</f>
        <v>9000</v>
      </c>
      <c r="E97" s="44">
        <f>'Source data'!E26</f>
        <v>279</v>
      </c>
      <c r="F97" s="44">
        <f>'Source data'!F26</f>
        <v>164</v>
      </c>
      <c r="G97" s="51">
        <f>'Source data'!G26*Assumptions!$B$13*IF(B97="In-Store",1,Assumptions!$B$14)*Assumptions!B8</f>
        <v>5040</v>
      </c>
      <c r="H97" s="51">
        <f t="shared" si="1"/>
        <v>5040</v>
      </c>
      <c r="I97" s="51">
        <f>(D97-H97)*Assumptions!C8</f>
        <v>1980</v>
      </c>
      <c r="J97" s="51">
        <f t="shared" si="2"/>
        <v>1980</v>
      </c>
      <c r="K97" s="26">
        <f>E97*(H97+I97*Assumptions!D8)</f>
        <v>1682370</v>
      </c>
      <c r="L97" s="26">
        <f t="shared" si="3"/>
        <v>1476000</v>
      </c>
      <c r="M97" s="26">
        <f t="shared" si="4"/>
        <v>531090</v>
      </c>
      <c r="N97" s="26">
        <f t="shared" si="5"/>
        <v>206370</v>
      </c>
      <c r="O97" s="26">
        <f t="shared" si="6"/>
        <v>324720</v>
      </c>
      <c r="P97" s="26">
        <f t="shared" si="7"/>
        <v>103185</v>
      </c>
      <c r="Q97" s="3">
        <f>COUNTIFS('Product decisions'!$A$7:$A$32,A97,'Product decisions'!$C$7:$C$32,B97)</f>
        <v>1</v>
      </c>
      <c r="R97" s="3">
        <f>COUNTIFS('Product decisions'!$A$7:$A$32,A97,'Product decisions'!$H$7:$H$32,B97)</f>
        <v>1</v>
      </c>
      <c r="S97" s="3">
        <f>COUNTIFS('Product decisions'!$A$7:$A$32,A97,'Product decisions'!$I$7:$I$32,B97)</f>
        <v>1</v>
      </c>
      <c r="T97" s="3">
        <f>COUNTIFS('Product decisions'!$A$7:$A$32,A97,'Product decisions'!$J$7:$J$32,B97)</f>
        <v>0</v>
      </c>
      <c r="U97" s="26">
        <f t="shared" si="13"/>
        <v>1476000</v>
      </c>
      <c r="V97" s="3">
        <f>'Source data'!D26</f>
        <v>2</v>
      </c>
      <c r="W97" s="27">
        <f t="shared" si="9"/>
        <v>0.1226662387</v>
      </c>
      <c r="X97" s="27">
        <f t="shared" si="10"/>
        <v>0.1398170732</v>
      </c>
    </row>
    <row r="98" ht="33.75" customHeight="1">
      <c r="A98" s="9" t="s">
        <v>114</v>
      </c>
      <c r="B98" s="3" t="s">
        <v>80</v>
      </c>
      <c r="C98" s="3" t="s">
        <v>52</v>
      </c>
      <c r="D98" s="43">
        <f>Assumptions!B40</f>
        <v>9000</v>
      </c>
      <c r="E98" s="44">
        <f>'Source data'!E26</f>
        <v>279</v>
      </c>
      <c r="F98" s="44">
        <f>'Source data'!F26</f>
        <v>164</v>
      </c>
      <c r="G98" s="51">
        <f>'Source data'!G26*Assumptions!$B$13*IF(B98="In-Store",1,Assumptions!$B$14)*Assumptions!B8</f>
        <v>4032</v>
      </c>
      <c r="H98" s="51">
        <f t="shared" si="1"/>
        <v>4032</v>
      </c>
      <c r="I98" s="51">
        <f>(D98-H98)*Assumptions!C8</f>
        <v>2484</v>
      </c>
      <c r="J98" s="51">
        <f t="shared" si="2"/>
        <v>2484</v>
      </c>
      <c r="K98" s="26">
        <f>E98*(H98+I98*Assumptions!D8)</f>
        <v>1471446</v>
      </c>
      <c r="L98" s="26">
        <f t="shared" si="3"/>
        <v>1476000</v>
      </c>
      <c r="M98" s="26">
        <f t="shared" si="4"/>
        <v>402822</v>
      </c>
      <c r="N98" s="26">
        <f t="shared" si="5"/>
        <v>-4554</v>
      </c>
      <c r="O98" s="26">
        <f t="shared" si="6"/>
        <v>407376</v>
      </c>
      <c r="P98" s="26">
        <f t="shared" si="7"/>
        <v>0</v>
      </c>
      <c r="Q98" s="3">
        <f>COUNTIFS('Product decisions'!$A$7:$A$32,A98,'Product decisions'!$C$7:$C$32,B98)</f>
        <v>0</v>
      </c>
      <c r="R98" s="3">
        <f>COUNTIFS('Product decisions'!$A$7:$A$32,A98,'Product decisions'!$H$7:$H$32,B98)</f>
        <v>0</v>
      </c>
      <c r="S98" s="3">
        <f>COUNTIFS('Product decisions'!$A$7:$A$32,A98,'Product decisions'!$I$7:$I$32,B98)</f>
        <v>0</v>
      </c>
      <c r="T98" s="3">
        <f>COUNTIFS('Product decisions'!$A$7:$A$32,A98,'Product decisions'!$J$7:$J$32,B98)</f>
        <v>0</v>
      </c>
      <c r="U98" s="26">
        <f t="shared" si="13"/>
        <v>1476000</v>
      </c>
      <c r="V98" s="3">
        <f>'Source data'!D26</f>
        <v>2</v>
      </c>
      <c r="W98" s="27">
        <f t="shared" si="9"/>
        <v>-0.003094914798</v>
      </c>
      <c r="X98" s="27">
        <f t="shared" si="10"/>
        <v>-0.003085365854</v>
      </c>
    </row>
    <row r="99" ht="33.75" customHeight="1">
      <c r="A99" s="9" t="s">
        <v>118</v>
      </c>
      <c r="B99" s="3" t="s">
        <v>56</v>
      </c>
      <c r="C99" s="3" t="s">
        <v>52</v>
      </c>
      <c r="D99" s="43">
        <f>Assumptions!B41</f>
        <v>16000</v>
      </c>
      <c r="E99" s="44">
        <f>'Source data'!E27</f>
        <v>79</v>
      </c>
      <c r="F99" s="44">
        <f>'Source data'!F27</f>
        <v>40</v>
      </c>
      <c r="G99" s="51">
        <f>'Source data'!G27*Assumptions!$B$13*IF(B99="In-Store",1,Assumptions!$B$14)*Assumptions!B8</f>
        <v>8960</v>
      </c>
      <c r="H99" s="51">
        <f t="shared" si="1"/>
        <v>8960</v>
      </c>
      <c r="I99" s="51">
        <f>(D99-H99)*Assumptions!C8</f>
        <v>3520</v>
      </c>
      <c r="J99" s="51">
        <f t="shared" si="2"/>
        <v>3520</v>
      </c>
      <c r="K99" s="26">
        <f>E99*(H99+I99*Assumptions!D8)</f>
        <v>846880</v>
      </c>
      <c r="L99" s="26">
        <f t="shared" si="3"/>
        <v>640000</v>
      </c>
      <c r="M99" s="26">
        <f t="shared" si="4"/>
        <v>347680</v>
      </c>
      <c r="N99" s="26">
        <f t="shared" si="5"/>
        <v>206880</v>
      </c>
      <c r="O99" s="26">
        <f t="shared" si="6"/>
        <v>140800</v>
      </c>
      <c r="P99" s="26">
        <f t="shared" si="7"/>
        <v>206880</v>
      </c>
      <c r="Q99" s="3">
        <f>COUNTIFS('Product decisions'!$A$7:$A$32,A99,'Product decisions'!$C$7:$C$32,B99)</f>
        <v>1</v>
      </c>
      <c r="R99" s="3">
        <f>COUNTIFS('Product decisions'!$A$7:$A$32,A99,'Product decisions'!$H$7:$H$32,B99)</f>
        <v>1</v>
      </c>
      <c r="S99" s="3">
        <f>COUNTIFS('Product decisions'!$A$7:$A$32,A99,'Product decisions'!$I$7:$I$32,B99)</f>
        <v>1</v>
      </c>
      <c r="T99" s="3">
        <f>COUNTIFS('Product decisions'!$A$7:$A$32,A99,'Product decisions'!$J$7:$J$32,B99)</f>
        <v>1</v>
      </c>
      <c r="U99" s="26">
        <f t="shared" si="13"/>
        <v>640000</v>
      </c>
      <c r="V99" s="3">
        <f>'Source data'!D27</f>
        <v>1</v>
      </c>
      <c r="W99" s="27">
        <f t="shared" si="9"/>
        <v>0.2442849046</v>
      </c>
      <c r="X99" s="27">
        <f t="shared" si="10"/>
        <v>0.32325</v>
      </c>
    </row>
    <row r="100" ht="33.75" customHeight="1">
      <c r="A100" s="9" t="s">
        <v>118</v>
      </c>
      <c r="B100" s="3" t="s">
        <v>80</v>
      </c>
      <c r="C100" s="3" t="s">
        <v>52</v>
      </c>
      <c r="D100" s="43">
        <f>Assumptions!B41</f>
        <v>16000</v>
      </c>
      <c r="E100" s="44">
        <f>'Source data'!E27</f>
        <v>79</v>
      </c>
      <c r="F100" s="44">
        <f>'Source data'!F27</f>
        <v>40</v>
      </c>
      <c r="G100" s="51">
        <f>'Source data'!G27*Assumptions!$B$13*IF(B100="In-Store",1,Assumptions!$B$14)*Assumptions!B8</f>
        <v>7168</v>
      </c>
      <c r="H100" s="51">
        <f t="shared" si="1"/>
        <v>7168</v>
      </c>
      <c r="I100" s="51">
        <f>(D100-H100)*Assumptions!C8</f>
        <v>4416</v>
      </c>
      <c r="J100" s="51">
        <f t="shared" si="2"/>
        <v>4416</v>
      </c>
      <c r="K100" s="26">
        <f>E100*(H100+I100*Assumptions!D8)</f>
        <v>740704</v>
      </c>
      <c r="L100" s="26">
        <f t="shared" si="3"/>
        <v>640000</v>
      </c>
      <c r="M100" s="26">
        <f t="shared" si="4"/>
        <v>277344</v>
      </c>
      <c r="N100" s="26">
        <f t="shared" si="5"/>
        <v>100704</v>
      </c>
      <c r="O100" s="26">
        <f t="shared" si="6"/>
        <v>176640</v>
      </c>
      <c r="P100" s="26">
        <f t="shared" si="7"/>
        <v>0</v>
      </c>
      <c r="Q100" s="3">
        <f>COUNTIFS('Product decisions'!$A$7:$A$32,A100,'Product decisions'!$C$7:$C$32,B100)</f>
        <v>0</v>
      </c>
      <c r="R100" s="3">
        <f>COUNTIFS('Product decisions'!$A$7:$A$32,A100,'Product decisions'!$H$7:$H$32,B100)</f>
        <v>0</v>
      </c>
      <c r="S100" s="3">
        <f>COUNTIFS('Product decisions'!$A$7:$A$32,A100,'Product decisions'!$I$7:$I$32,B100)</f>
        <v>0</v>
      </c>
      <c r="T100" s="3">
        <f>COUNTIFS('Product decisions'!$A$7:$A$32,A100,'Product decisions'!$J$7:$J$32,B100)</f>
        <v>0</v>
      </c>
      <c r="U100" s="26">
        <f t="shared" si="13"/>
        <v>640000</v>
      </c>
      <c r="V100" s="3">
        <f>'Source data'!D27</f>
        <v>1</v>
      </c>
      <c r="W100" s="27">
        <f t="shared" si="9"/>
        <v>0.1359571435</v>
      </c>
      <c r="X100" s="27">
        <f t="shared" si="10"/>
        <v>0.15735</v>
      </c>
    </row>
    <row r="101" ht="33.75" customHeight="1">
      <c r="A101" s="9" t="s">
        <v>123</v>
      </c>
      <c r="B101" s="3" t="s">
        <v>56</v>
      </c>
      <c r="C101" s="3" t="s">
        <v>52</v>
      </c>
      <c r="D101" s="43">
        <f>Assumptions!B42</f>
        <v>7000</v>
      </c>
      <c r="E101" s="44">
        <f>'Source data'!E28</f>
        <v>179</v>
      </c>
      <c r="F101" s="44">
        <f>'Source data'!F28</f>
        <v>88</v>
      </c>
      <c r="G101" s="51">
        <f>'Source data'!G28*Assumptions!$B$13*IF(B101="In-Store",1,Assumptions!$B$14)*Assumptions!B8</f>
        <v>3920</v>
      </c>
      <c r="H101" s="51">
        <f t="shared" si="1"/>
        <v>3920</v>
      </c>
      <c r="I101" s="51">
        <f>(D101-H101)*Assumptions!C8</f>
        <v>1540</v>
      </c>
      <c r="J101" s="51">
        <f t="shared" si="2"/>
        <v>1540</v>
      </c>
      <c r="K101" s="26">
        <f>E101*(H101+I101*Assumptions!D8)</f>
        <v>839510</v>
      </c>
      <c r="L101" s="26">
        <f t="shared" si="3"/>
        <v>616000</v>
      </c>
      <c r="M101" s="26">
        <f t="shared" si="4"/>
        <v>359030</v>
      </c>
      <c r="N101" s="26">
        <f t="shared" si="5"/>
        <v>223510</v>
      </c>
      <c r="O101" s="26">
        <f t="shared" si="6"/>
        <v>135520</v>
      </c>
      <c r="P101" s="26">
        <f t="shared" si="7"/>
        <v>111755</v>
      </c>
      <c r="Q101" s="3">
        <f>COUNTIFS('Product decisions'!$A$7:$A$32,A101,'Product decisions'!$C$7:$C$32,B101)</f>
        <v>0</v>
      </c>
      <c r="R101" s="3">
        <f>COUNTIFS('Product decisions'!$A$7:$A$32,A101,'Product decisions'!$H$7:$H$32,B101)</f>
        <v>0</v>
      </c>
      <c r="S101" s="3">
        <f>COUNTIFS('Product decisions'!$A$7:$A$32,A101,'Product decisions'!$I$7:$I$32,B101)</f>
        <v>1</v>
      </c>
      <c r="T101" s="3">
        <f>COUNTIFS('Product decisions'!$A$7:$A$32,A101,'Product decisions'!$J$7:$J$32,B101)</f>
        <v>1</v>
      </c>
      <c r="U101" s="26">
        <f t="shared" si="13"/>
        <v>616000</v>
      </c>
      <c r="V101" s="3">
        <f>'Source data'!D28</f>
        <v>2</v>
      </c>
      <c r="W101" s="27">
        <f t="shared" si="9"/>
        <v>0.2662386392</v>
      </c>
      <c r="X101" s="27">
        <f t="shared" si="10"/>
        <v>0.3628409091</v>
      </c>
    </row>
    <row r="102" ht="33.75" customHeight="1">
      <c r="A102" s="9" t="s">
        <v>123</v>
      </c>
      <c r="B102" s="3" t="s">
        <v>80</v>
      </c>
      <c r="C102" s="3" t="s">
        <v>52</v>
      </c>
      <c r="D102" s="43">
        <f>Assumptions!B42</f>
        <v>7000</v>
      </c>
      <c r="E102" s="44">
        <f>'Source data'!E28</f>
        <v>179</v>
      </c>
      <c r="F102" s="44">
        <f>'Source data'!F28</f>
        <v>88</v>
      </c>
      <c r="G102" s="51">
        <f>'Source data'!G28*Assumptions!$B$13*IF(B102="In-Store",1,Assumptions!$B$14)*Assumptions!B8</f>
        <v>3136</v>
      </c>
      <c r="H102" s="51">
        <f t="shared" si="1"/>
        <v>3136</v>
      </c>
      <c r="I102" s="51">
        <f>(D102-H102)*Assumptions!C8</f>
        <v>1932</v>
      </c>
      <c r="J102" s="51">
        <f t="shared" si="2"/>
        <v>1932</v>
      </c>
      <c r="K102" s="26">
        <f>E102*(H102+I102*Assumptions!D8)</f>
        <v>734258</v>
      </c>
      <c r="L102" s="26">
        <f t="shared" si="3"/>
        <v>616000</v>
      </c>
      <c r="M102" s="26">
        <f t="shared" si="4"/>
        <v>288274</v>
      </c>
      <c r="N102" s="26">
        <f t="shared" si="5"/>
        <v>118258</v>
      </c>
      <c r="O102" s="26">
        <f t="shared" si="6"/>
        <v>170016</v>
      </c>
      <c r="P102" s="26">
        <f t="shared" si="7"/>
        <v>0</v>
      </c>
      <c r="Q102" s="3">
        <f>COUNTIFS('Product decisions'!$A$7:$A$32,A102,'Product decisions'!$C$7:$C$32,B102)</f>
        <v>1</v>
      </c>
      <c r="R102" s="3">
        <f>COUNTIFS('Product decisions'!$A$7:$A$32,A102,'Product decisions'!$H$7:$H$32,B102)</f>
        <v>0</v>
      </c>
      <c r="S102" s="3">
        <f>COUNTIFS('Product decisions'!$A$7:$A$32,A102,'Product decisions'!$I$7:$I$32,B102)</f>
        <v>0</v>
      </c>
      <c r="T102" s="3">
        <f>COUNTIFS('Product decisions'!$A$7:$A$32,A102,'Product decisions'!$J$7:$J$32,B102)</f>
        <v>0</v>
      </c>
      <c r="U102" s="26">
        <f t="shared" si="13"/>
        <v>616000</v>
      </c>
      <c r="V102" s="3">
        <f>'Source data'!D28</f>
        <v>2</v>
      </c>
      <c r="W102" s="27">
        <f t="shared" si="9"/>
        <v>0.1610578298</v>
      </c>
      <c r="X102" s="27">
        <f t="shared" si="10"/>
        <v>0.1919772727</v>
      </c>
    </row>
    <row r="103" ht="33.75" customHeight="1">
      <c r="A103" s="9" t="s">
        <v>127</v>
      </c>
      <c r="B103" s="3" t="s">
        <v>56</v>
      </c>
      <c r="C103" s="3" t="s">
        <v>52</v>
      </c>
      <c r="D103" s="43">
        <f>Assumptions!B43</f>
        <v>20000</v>
      </c>
      <c r="E103" s="44">
        <f>'Source data'!E29</f>
        <v>89</v>
      </c>
      <c r="F103" s="44">
        <f>'Source data'!F29</f>
        <v>52</v>
      </c>
      <c r="G103" s="51">
        <f>'Source data'!G29*Assumptions!$B$13*IF(B103="In-Store",1,Assumptions!$B$14)*Assumptions!B8</f>
        <v>11200</v>
      </c>
      <c r="H103" s="51">
        <f t="shared" si="1"/>
        <v>11200</v>
      </c>
      <c r="I103" s="51">
        <f>(D103-H103)*Assumptions!C8</f>
        <v>4400</v>
      </c>
      <c r="J103" s="51">
        <f t="shared" si="2"/>
        <v>4400</v>
      </c>
      <c r="K103" s="26">
        <f>E103*(H103+I103*Assumptions!D8)</f>
        <v>1192600</v>
      </c>
      <c r="L103" s="26">
        <f t="shared" si="3"/>
        <v>1040000</v>
      </c>
      <c r="M103" s="26">
        <f t="shared" si="4"/>
        <v>381400</v>
      </c>
      <c r="N103" s="26">
        <f t="shared" si="5"/>
        <v>152600</v>
      </c>
      <c r="O103" s="26">
        <f t="shared" si="6"/>
        <v>228800</v>
      </c>
      <c r="P103" s="26">
        <f t="shared" si="7"/>
        <v>152600</v>
      </c>
      <c r="Q103" s="3">
        <f>COUNTIFS('Product decisions'!$A$7:$A$32,A103,'Product decisions'!$C$7:$C$32,B103)</f>
        <v>0</v>
      </c>
      <c r="R103" s="3">
        <f>COUNTIFS('Product decisions'!$A$7:$A$32,A103,'Product decisions'!$H$7:$H$32,B103)</f>
        <v>1</v>
      </c>
      <c r="S103" s="3">
        <f>COUNTIFS('Product decisions'!$A$7:$A$32,A103,'Product decisions'!$I$7:$I$32,B103)</f>
        <v>0</v>
      </c>
      <c r="T103" s="3">
        <f>COUNTIFS('Product decisions'!$A$7:$A$32,A103,'Product decisions'!$J$7:$J$32,B103)</f>
        <v>0</v>
      </c>
      <c r="U103" s="26">
        <f t="shared" si="13"/>
        <v>1040000</v>
      </c>
      <c r="V103" s="3">
        <f>'Source data'!D29</f>
        <v>1</v>
      </c>
      <c r="W103" s="27">
        <f t="shared" si="9"/>
        <v>0.127955727</v>
      </c>
      <c r="X103" s="27">
        <f t="shared" si="10"/>
        <v>0.1467307692</v>
      </c>
    </row>
    <row r="104" ht="33.75" customHeight="1">
      <c r="A104" s="9" t="s">
        <v>127</v>
      </c>
      <c r="B104" s="3" t="s">
        <v>80</v>
      </c>
      <c r="C104" s="3" t="s">
        <v>52</v>
      </c>
      <c r="D104" s="43">
        <f>Assumptions!B43</f>
        <v>20000</v>
      </c>
      <c r="E104" s="44">
        <f>'Source data'!E29</f>
        <v>89</v>
      </c>
      <c r="F104" s="44">
        <f>'Source data'!F29</f>
        <v>52</v>
      </c>
      <c r="G104" s="51">
        <f>'Source data'!G29*Assumptions!$B$13*IF(B104="In-Store",1,Assumptions!$B$14)*Assumptions!B8</f>
        <v>8960</v>
      </c>
      <c r="H104" s="51">
        <f t="shared" si="1"/>
        <v>8960</v>
      </c>
      <c r="I104" s="51">
        <f>(D104-H104)*Assumptions!C8</f>
        <v>5520</v>
      </c>
      <c r="J104" s="51">
        <f t="shared" si="2"/>
        <v>5520</v>
      </c>
      <c r="K104" s="26">
        <f>E104*(H104+I104*Assumptions!D8)</f>
        <v>1043080</v>
      </c>
      <c r="L104" s="26">
        <f t="shared" si="3"/>
        <v>1040000</v>
      </c>
      <c r="M104" s="26">
        <f t="shared" si="4"/>
        <v>290120</v>
      </c>
      <c r="N104" s="26">
        <f t="shared" si="5"/>
        <v>3080</v>
      </c>
      <c r="O104" s="26">
        <f t="shared" si="6"/>
        <v>287040</v>
      </c>
      <c r="P104" s="26">
        <f t="shared" si="7"/>
        <v>0</v>
      </c>
      <c r="Q104" s="3">
        <f>COUNTIFS('Product decisions'!$A$7:$A$32,A104,'Product decisions'!$C$7:$C$32,B104)</f>
        <v>0</v>
      </c>
      <c r="R104" s="3">
        <f>COUNTIFS('Product decisions'!$A$7:$A$32,A104,'Product decisions'!$H$7:$H$32,B104)</f>
        <v>0</v>
      </c>
      <c r="S104" s="3">
        <f>COUNTIFS('Product decisions'!$A$7:$A$32,A104,'Product decisions'!$I$7:$I$32,B104)</f>
        <v>0</v>
      </c>
      <c r="T104" s="3">
        <f>COUNTIFS('Product decisions'!$A$7:$A$32,A104,'Product decisions'!$J$7:$J$32,B104)</f>
        <v>0</v>
      </c>
      <c r="U104" s="26">
        <f t="shared" si="13"/>
        <v>1040000</v>
      </c>
      <c r="V104" s="3">
        <f>'Source data'!D29</f>
        <v>1</v>
      </c>
      <c r="W104" s="27">
        <f t="shared" si="9"/>
        <v>0.00295279365</v>
      </c>
      <c r="X104" s="27">
        <f t="shared" si="10"/>
        <v>0.002961538462</v>
      </c>
    </row>
    <row r="105" ht="33.75" customHeight="1">
      <c r="A105" s="9" t="s">
        <v>128</v>
      </c>
      <c r="B105" s="3" t="s">
        <v>56</v>
      </c>
      <c r="C105" s="3" t="s">
        <v>52</v>
      </c>
      <c r="D105" s="43">
        <f>Assumptions!B44</f>
        <v>9000</v>
      </c>
      <c r="E105" s="44">
        <f>'Source data'!E30</f>
        <v>39.98</v>
      </c>
      <c r="F105" s="44">
        <f>'Source data'!F30</f>
        <v>7</v>
      </c>
      <c r="G105" s="51">
        <f>'Source data'!G30*Assumptions!$B$13*IF(B105="In-Store",1,Assumptions!$B$14)*Assumptions!B8</f>
        <v>5040</v>
      </c>
      <c r="H105" s="51">
        <f t="shared" si="1"/>
        <v>5040</v>
      </c>
      <c r="I105" s="51">
        <f>(D105-H105)*Assumptions!C8</f>
        <v>1980</v>
      </c>
      <c r="J105" s="51">
        <f t="shared" si="2"/>
        <v>1980</v>
      </c>
      <c r="K105" s="26">
        <f>E105*(H105+I105*Assumptions!D8)</f>
        <v>241079.4</v>
      </c>
      <c r="L105" s="26">
        <f t="shared" si="3"/>
        <v>63000</v>
      </c>
      <c r="M105" s="26">
        <f t="shared" si="4"/>
        <v>191939.4</v>
      </c>
      <c r="N105" s="26">
        <f t="shared" si="5"/>
        <v>178079.4</v>
      </c>
      <c r="O105" s="26">
        <f t="shared" si="6"/>
        <v>13860</v>
      </c>
      <c r="P105" s="26">
        <f t="shared" si="7"/>
        <v>178079.4</v>
      </c>
      <c r="Q105" s="3">
        <f>COUNTIFS('Product decisions'!$A$7:$A$32,A105,'Product decisions'!$C$7:$C$32,B105)</f>
        <v>1</v>
      </c>
      <c r="R105" s="3">
        <f>COUNTIFS('Product decisions'!$A$7:$A$32,A105,'Product decisions'!$H$7:$H$32,B105)</f>
        <v>0</v>
      </c>
      <c r="S105" s="3">
        <f>COUNTIFS('Product decisions'!$A$7:$A$32,A105,'Product decisions'!$I$7:$I$32,B105)</f>
        <v>1</v>
      </c>
      <c r="T105" s="3">
        <f>COUNTIFS('Product decisions'!$A$7:$A$32,A105,'Product decisions'!$J$7:$J$32,B105)</f>
        <v>1</v>
      </c>
      <c r="U105" s="26">
        <f t="shared" si="13"/>
        <v>63000</v>
      </c>
      <c r="V105" s="3">
        <f>'Source data'!D30</f>
        <v>1</v>
      </c>
      <c r="W105" s="27">
        <f t="shared" si="9"/>
        <v>0.7386753078</v>
      </c>
      <c r="X105" s="27">
        <f t="shared" si="10"/>
        <v>2.826657143</v>
      </c>
    </row>
    <row r="106" ht="33.75" customHeight="1">
      <c r="A106" s="9" t="s">
        <v>128</v>
      </c>
      <c r="B106" s="3" t="s">
        <v>80</v>
      </c>
      <c r="C106" s="3" t="s">
        <v>52</v>
      </c>
      <c r="D106" s="43">
        <f>Assumptions!B44</f>
        <v>9000</v>
      </c>
      <c r="E106" s="44">
        <f>'Source data'!E30</f>
        <v>39.98</v>
      </c>
      <c r="F106" s="44">
        <f>'Source data'!F30</f>
        <v>7</v>
      </c>
      <c r="G106" s="51">
        <f>'Source data'!G30*Assumptions!$B$13*IF(B106="In-Store",1,Assumptions!$B$14)*Assumptions!B8</f>
        <v>4032</v>
      </c>
      <c r="H106" s="51">
        <f t="shared" si="1"/>
        <v>4032</v>
      </c>
      <c r="I106" s="51">
        <f>(D106-H106)*Assumptions!C8</f>
        <v>2484</v>
      </c>
      <c r="J106" s="51">
        <f t="shared" si="2"/>
        <v>2484</v>
      </c>
      <c r="K106" s="26">
        <f>E106*(H106+I106*Assumptions!D8)</f>
        <v>210854.52</v>
      </c>
      <c r="L106" s="26">
        <f t="shared" si="3"/>
        <v>63000</v>
      </c>
      <c r="M106" s="26">
        <f t="shared" si="4"/>
        <v>165242.52</v>
      </c>
      <c r="N106" s="26">
        <f t="shared" si="5"/>
        <v>147854.52</v>
      </c>
      <c r="O106" s="26">
        <f t="shared" si="6"/>
        <v>17388</v>
      </c>
      <c r="P106" s="26">
        <f t="shared" si="7"/>
        <v>0</v>
      </c>
      <c r="Q106" s="3">
        <f>COUNTIFS('Product decisions'!$A$7:$A$32,A106,'Product decisions'!$C$7:$C$32,B106)</f>
        <v>0</v>
      </c>
      <c r="R106" s="3">
        <f>COUNTIFS('Product decisions'!$A$7:$A$32,A106,'Product decisions'!$H$7:$H$32,B106)</f>
        <v>0</v>
      </c>
      <c r="S106" s="3">
        <f>COUNTIFS('Product decisions'!$A$7:$A$32,A106,'Product decisions'!$I$7:$I$32,B106)</f>
        <v>0</v>
      </c>
      <c r="T106" s="3">
        <f>COUNTIFS('Product decisions'!$A$7:$A$32,A106,'Product decisions'!$J$7:$J$32,B106)</f>
        <v>0</v>
      </c>
      <c r="U106" s="26">
        <f t="shared" si="13"/>
        <v>63000</v>
      </c>
      <c r="V106" s="3">
        <f>'Source data'!D30</f>
        <v>1</v>
      </c>
      <c r="W106" s="27">
        <f t="shared" si="9"/>
        <v>0.7012157956</v>
      </c>
      <c r="X106" s="27">
        <f t="shared" si="10"/>
        <v>2.346897143</v>
      </c>
    </row>
    <row r="107" ht="33.75" customHeight="1">
      <c r="A107" s="9" t="s">
        <v>130</v>
      </c>
      <c r="B107" s="3" t="s">
        <v>56</v>
      </c>
      <c r="C107" s="3" t="s">
        <v>52</v>
      </c>
      <c r="D107" s="43">
        <f>Assumptions!B45</f>
        <v>12000</v>
      </c>
      <c r="E107" s="44">
        <f>'Source data'!E31</f>
        <v>44.98</v>
      </c>
      <c r="F107" s="44">
        <f>'Source data'!F31</f>
        <v>16</v>
      </c>
      <c r="G107" s="51">
        <f>'Source data'!G31*Assumptions!$B$13*IF(B107="In-Store",1,Assumptions!$B$14)*Assumptions!B8</f>
        <v>6720</v>
      </c>
      <c r="H107" s="51">
        <f t="shared" si="1"/>
        <v>6720</v>
      </c>
      <c r="I107" s="51">
        <f>(D107-H107)*Assumptions!C8</f>
        <v>2640</v>
      </c>
      <c r="J107" s="51">
        <f t="shared" si="2"/>
        <v>2640</v>
      </c>
      <c r="K107" s="26">
        <f>E107*(H107+I107*Assumptions!D8)</f>
        <v>361639.2</v>
      </c>
      <c r="L107" s="26">
        <f t="shared" si="3"/>
        <v>192000</v>
      </c>
      <c r="M107" s="26">
        <f t="shared" si="4"/>
        <v>211879.2</v>
      </c>
      <c r="N107" s="26">
        <f t="shared" si="5"/>
        <v>169639.2</v>
      </c>
      <c r="O107" s="26">
        <f t="shared" si="6"/>
        <v>42240</v>
      </c>
      <c r="P107" s="26">
        <f t="shared" si="7"/>
        <v>169639.2</v>
      </c>
      <c r="Q107" s="3">
        <f>COUNTIFS('Product decisions'!$A$7:$A$32,A107,'Product decisions'!$C$7:$C$32,B107)</f>
        <v>1</v>
      </c>
      <c r="R107" s="3">
        <f>COUNTIFS('Product decisions'!$A$7:$A$32,A107,'Product decisions'!$H$7:$H$32,B107)</f>
        <v>0</v>
      </c>
      <c r="S107" s="3">
        <f>COUNTIFS('Product decisions'!$A$7:$A$32,A107,'Product decisions'!$I$7:$I$32,B107)</f>
        <v>1</v>
      </c>
      <c r="T107" s="3">
        <f>COUNTIFS('Product decisions'!$A$7:$A$32,A107,'Product decisions'!$J$7:$J$32,B107)</f>
        <v>1</v>
      </c>
      <c r="U107" s="26">
        <f t="shared" si="13"/>
        <v>192000</v>
      </c>
      <c r="V107" s="3">
        <f>'Source data'!D31</f>
        <v>1</v>
      </c>
      <c r="W107" s="27">
        <f t="shared" si="9"/>
        <v>0.4690841037</v>
      </c>
      <c r="X107" s="27">
        <f t="shared" si="10"/>
        <v>0.8835375</v>
      </c>
    </row>
    <row r="108" ht="33.75" customHeight="1">
      <c r="A108" s="9" t="s">
        <v>130</v>
      </c>
      <c r="B108" s="3" t="s">
        <v>80</v>
      </c>
      <c r="C108" s="3" t="s">
        <v>52</v>
      </c>
      <c r="D108" s="43">
        <f>Assumptions!B45</f>
        <v>12000</v>
      </c>
      <c r="E108" s="44">
        <f>'Source data'!E31</f>
        <v>44.98</v>
      </c>
      <c r="F108" s="44">
        <f>'Source data'!F31</f>
        <v>16</v>
      </c>
      <c r="G108" s="51">
        <f>'Source data'!G31*Assumptions!$B$13*IF(B108="In-Store",1,Assumptions!$B$14)*Assumptions!B8</f>
        <v>5376</v>
      </c>
      <c r="H108" s="51">
        <f t="shared" si="1"/>
        <v>5376</v>
      </c>
      <c r="I108" s="51">
        <f>(D108-H108)*Assumptions!C8</f>
        <v>3312</v>
      </c>
      <c r="J108" s="51">
        <f t="shared" si="2"/>
        <v>3312</v>
      </c>
      <c r="K108" s="26">
        <f>E108*(H108+I108*Assumptions!D8)</f>
        <v>316299.36</v>
      </c>
      <c r="L108" s="26">
        <f t="shared" si="3"/>
        <v>192000</v>
      </c>
      <c r="M108" s="26">
        <f t="shared" si="4"/>
        <v>177291.36</v>
      </c>
      <c r="N108" s="26">
        <f t="shared" si="5"/>
        <v>124299.36</v>
      </c>
      <c r="O108" s="26">
        <f t="shared" si="6"/>
        <v>52992</v>
      </c>
      <c r="P108" s="26">
        <f t="shared" si="7"/>
        <v>0</v>
      </c>
      <c r="Q108" s="3">
        <f>COUNTIFS('Product decisions'!$A$7:$A$32,A108,'Product decisions'!$C$7:$C$32,B108)</f>
        <v>0</v>
      </c>
      <c r="R108" s="3">
        <f>COUNTIFS('Product decisions'!$A$7:$A$32,A108,'Product decisions'!$H$7:$H$32,B108)</f>
        <v>0</v>
      </c>
      <c r="S108" s="3">
        <f>COUNTIFS('Product decisions'!$A$7:$A$32,A108,'Product decisions'!$I$7:$I$32,B108)</f>
        <v>0</v>
      </c>
      <c r="T108" s="3">
        <f>COUNTIFS('Product decisions'!$A$7:$A$32,A108,'Product decisions'!$J$7:$J$32,B108)</f>
        <v>0</v>
      </c>
      <c r="U108" s="26">
        <f t="shared" si="13"/>
        <v>192000</v>
      </c>
      <c r="V108" s="3">
        <f>'Source data'!D31</f>
        <v>1</v>
      </c>
      <c r="W108" s="27">
        <f t="shared" si="9"/>
        <v>0.3929801186</v>
      </c>
      <c r="X108" s="27">
        <f t="shared" si="10"/>
        <v>0.6473925</v>
      </c>
    </row>
    <row r="109" ht="33.75" customHeight="1">
      <c r="A109" s="9" t="s">
        <v>131</v>
      </c>
      <c r="B109" s="3" t="s">
        <v>56</v>
      </c>
      <c r="C109" s="3" t="s">
        <v>52</v>
      </c>
      <c r="D109" s="43">
        <f>Assumptions!B46</f>
        <v>22000</v>
      </c>
      <c r="E109" s="44">
        <f>'Source data'!E32</f>
        <v>29.98</v>
      </c>
      <c r="F109" s="44">
        <f>'Source data'!F32</f>
        <v>9</v>
      </c>
      <c r="G109" s="51">
        <f>'Source data'!G32*Assumptions!$B$13*IF(B109="In-Store",1,Assumptions!$B$14)*Assumptions!B8</f>
        <v>12320</v>
      </c>
      <c r="H109" s="51">
        <f t="shared" si="1"/>
        <v>12320</v>
      </c>
      <c r="I109" s="51">
        <f>(D109-H109)*Assumptions!C8</f>
        <v>4840</v>
      </c>
      <c r="J109" s="51">
        <f t="shared" si="2"/>
        <v>4840</v>
      </c>
      <c r="K109" s="26">
        <f>E109*(H109+I109*Assumptions!D8)</f>
        <v>441905.2</v>
      </c>
      <c r="L109" s="26">
        <f t="shared" si="3"/>
        <v>198000</v>
      </c>
      <c r="M109" s="26">
        <f t="shared" si="4"/>
        <v>287465.2</v>
      </c>
      <c r="N109" s="26">
        <f t="shared" si="5"/>
        <v>243905.2</v>
      </c>
      <c r="O109" s="26">
        <f t="shared" si="6"/>
        <v>43560</v>
      </c>
      <c r="P109" s="26">
        <f t="shared" si="7"/>
        <v>243905.2</v>
      </c>
      <c r="Q109" s="3">
        <f>COUNTIFS('Product decisions'!$A$7:$A$32,A109,'Product decisions'!$C$7:$C$32,B109)</f>
        <v>1</v>
      </c>
      <c r="R109" s="3">
        <f>COUNTIFS('Product decisions'!$A$7:$A$32,A109,'Product decisions'!$H$7:$H$32,B109)</f>
        <v>1</v>
      </c>
      <c r="S109" s="3">
        <f>COUNTIFS('Product decisions'!$A$7:$A$32,A109,'Product decisions'!$I$7:$I$32,B109)</f>
        <v>1</v>
      </c>
      <c r="T109" s="3">
        <f>COUNTIFS('Product decisions'!$A$7:$A$32,A109,'Product decisions'!$J$7:$J$32,B109)</f>
        <v>1</v>
      </c>
      <c r="U109" s="26">
        <f t="shared" si="13"/>
        <v>198000</v>
      </c>
      <c r="V109" s="3">
        <f>'Source data'!D32</f>
        <v>1</v>
      </c>
      <c r="W109" s="27">
        <f t="shared" si="9"/>
        <v>0.5519400994</v>
      </c>
      <c r="X109" s="27">
        <f t="shared" si="10"/>
        <v>1.231844444</v>
      </c>
    </row>
    <row r="110" ht="33.75" customHeight="1">
      <c r="A110" s="9" t="s">
        <v>131</v>
      </c>
      <c r="B110" s="3" t="s">
        <v>80</v>
      </c>
      <c r="C110" s="3" t="s">
        <v>52</v>
      </c>
      <c r="D110" s="43">
        <f>Assumptions!B46</f>
        <v>22000</v>
      </c>
      <c r="E110" s="44">
        <f>'Source data'!E32</f>
        <v>29.98</v>
      </c>
      <c r="F110" s="44">
        <f>'Source data'!F32</f>
        <v>9</v>
      </c>
      <c r="G110" s="51">
        <f>'Source data'!G32*Assumptions!$B$13*IF(B110="In-Store",1,Assumptions!$B$14)*Assumptions!B8</f>
        <v>9856</v>
      </c>
      <c r="H110" s="51">
        <f t="shared" si="1"/>
        <v>9856</v>
      </c>
      <c r="I110" s="51">
        <f>(D110-H110)*Assumptions!C8</f>
        <v>6072</v>
      </c>
      <c r="J110" s="51">
        <f t="shared" si="2"/>
        <v>6072</v>
      </c>
      <c r="K110" s="26">
        <f>E110*(H110+I110*Assumptions!D8)</f>
        <v>386502.16</v>
      </c>
      <c r="L110" s="26">
        <f t="shared" si="3"/>
        <v>198000</v>
      </c>
      <c r="M110" s="26">
        <f t="shared" si="4"/>
        <v>243150.16</v>
      </c>
      <c r="N110" s="26">
        <f t="shared" si="5"/>
        <v>188502.16</v>
      </c>
      <c r="O110" s="26">
        <f t="shared" si="6"/>
        <v>54648</v>
      </c>
      <c r="P110" s="26">
        <f t="shared" si="7"/>
        <v>0</v>
      </c>
      <c r="Q110" s="3">
        <f>COUNTIFS('Product decisions'!$A$7:$A$32,A110,'Product decisions'!$C$7:$C$32,B110)</f>
        <v>0</v>
      </c>
      <c r="R110" s="3">
        <f>COUNTIFS('Product decisions'!$A$7:$A$32,A110,'Product decisions'!$H$7:$H$32,B110)</f>
        <v>0</v>
      </c>
      <c r="S110" s="3">
        <f>COUNTIFS('Product decisions'!$A$7:$A$32,A110,'Product decisions'!$I$7:$I$32,B110)</f>
        <v>0</v>
      </c>
      <c r="T110" s="3">
        <f>COUNTIFS('Product decisions'!$A$7:$A$32,A110,'Product decisions'!$J$7:$J$32,B110)</f>
        <v>0</v>
      </c>
      <c r="U110" s="26">
        <f t="shared" si="13"/>
        <v>198000</v>
      </c>
      <c r="V110" s="3">
        <f>'Source data'!D32</f>
        <v>1</v>
      </c>
      <c r="W110" s="27">
        <f t="shared" si="9"/>
        <v>0.4877130829</v>
      </c>
      <c r="X110" s="27">
        <f t="shared" si="10"/>
        <v>0.9520311111</v>
      </c>
    </row>
    <row r="111" ht="33.75" customHeight="1">
      <c r="A111" s="9" t="s">
        <v>54</v>
      </c>
      <c r="B111" s="3" t="s">
        <v>56</v>
      </c>
      <c r="C111" s="3" t="s">
        <v>53</v>
      </c>
      <c r="D111" s="43">
        <f>Assumptions!B21</f>
        <v>40000</v>
      </c>
      <c r="E111" s="44">
        <f>'Source data'!E7</f>
        <v>299</v>
      </c>
      <c r="F111" s="44">
        <f>'Source data'!F7</f>
        <v>126</v>
      </c>
      <c r="G111" s="51">
        <f>IF(B111="In-Store",'Source data'!J7+Assumptions!$B$15*'Source data'!K7,'Source data'!K7+Assumptions!$B$15*'Source data'!J7)*'Source data'!H7/'Source data'!G7*Assumptions!B9</f>
        <v>31682.5</v>
      </c>
      <c r="H111" s="51">
        <f t="shared" si="1"/>
        <v>31682.5</v>
      </c>
      <c r="I111" s="51">
        <f>(D111-H111)*Assumptions!C9</f>
        <v>8317.5</v>
      </c>
      <c r="J111" s="51">
        <f t="shared" si="2"/>
        <v>0</v>
      </c>
      <c r="K111" s="26">
        <f>E111*(H111+I111*Assumptions!D9)</f>
        <v>10716533.75</v>
      </c>
      <c r="L111" s="26">
        <f t="shared" si="3"/>
        <v>5040000</v>
      </c>
      <c r="M111" s="26">
        <f t="shared" si="4"/>
        <v>5676533.75</v>
      </c>
      <c r="N111" s="26">
        <f t="shared" si="5"/>
        <v>5676533.75</v>
      </c>
      <c r="O111" s="26">
        <f t="shared" si="6"/>
        <v>0</v>
      </c>
      <c r="P111" s="26">
        <f t="shared" si="7"/>
        <v>1892177.917</v>
      </c>
      <c r="Q111" s="3">
        <f>COUNTIFS('Product decisions'!$A$7:$A$32,A111,'Product decisions'!$C$7:$C$32,B111)</f>
        <v>1</v>
      </c>
      <c r="R111" s="3">
        <f>COUNTIFS('Product decisions'!$A$7:$A$32,A111,'Product decisions'!$H$7:$H$32,B111)</f>
        <v>0</v>
      </c>
      <c r="S111" s="3">
        <f>COUNTIFS('Product decisions'!$A$7:$A$32,A111,'Product decisions'!$I$7:$I$32,B111)</f>
        <v>0</v>
      </c>
      <c r="T111" s="3">
        <f>COUNTIFS('Product decisions'!$A$7:$A$32,A111,'Product decisions'!$J$7:$J$32,B111)</f>
        <v>1</v>
      </c>
      <c r="U111" s="26">
        <f t="shared" ref="U111:U142" si="14">0</f>
        <v>0</v>
      </c>
      <c r="V111" s="3">
        <f>'Source data'!D7</f>
        <v>3</v>
      </c>
      <c r="W111" s="27">
        <f t="shared" si="9"/>
        <v>0.5296986771</v>
      </c>
      <c r="X111" s="27">
        <f t="shared" si="10"/>
        <v>1.126296379</v>
      </c>
    </row>
    <row r="112" ht="33.75" customHeight="1">
      <c r="A112" s="9" t="s">
        <v>54</v>
      </c>
      <c r="B112" s="3" t="s">
        <v>80</v>
      </c>
      <c r="C112" s="3" t="s">
        <v>53</v>
      </c>
      <c r="D112" s="43">
        <f>Assumptions!B21</f>
        <v>40000</v>
      </c>
      <c r="E112" s="44">
        <f>'Source data'!E7</f>
        <v>299</v>
      </c>
      <c r="F112" s="44">
        <f>'Source data'!F7</f>
        <v>126</v>
      </c>
      <c r="G112" s="51">
        <f>IF(B112="In-Store",'Source data'!J7+Assumptions!$B$15*'Source data'!K7,'Source data'!K7+Assumptions!$B$15*'Source data'!J7)*'Source data'!H7/'Source data'!G7*Assumptions!B9</f>
        <v>33867.5</v>
      </c>
      <c r="H112" s="51">
        <f t="shared" si="1"/>
        <v>33867.5</v>
      </c>
      <c r="I112" s="51">
        <f>(D112-H112)*Assumptions!C9</f>
        <v>6132.5</v>
      </c>
      <c r="J112" s="51">
        <f t="shared" si="2"/>
        <v>0</v>
      </c>
      <c r="K112" s="26">
        <f>E112*(H112+I112*Assumptions!D9)</f>
        <v>11043191.25</v>
      </c>
      <c r="L112" s="26">
        <f t="shared" si="3"/>
        <v>5040000</v>
      </c>
      <c r="M112" s="26">
        <f t="shared" si="4"/>
        <v>6003191.25</v>
      </c>
      <c r="N112" s="26">
        <f t="shared" si="5"/>
        <v>6003191.25</v>
      </c>
      <c r="O112" s="26">
        <f t="shared" si="6"/>
        <v>0</v>
      </c>
      <c r="P112" s="26">
        <f t="shared" si="7"/>
        <v>0</v>
      </c>
      <c r="Q112" s="3">
        <f>COUNTIFS('Product decisions'!$A$7:$A$32,A112,'Product decisions'!$C$7:$C$32,B112)</f>
        <v>0</v>
      </c>
      <c r="R112" s="3">
        <f>COUNTIFS('Product decisions'!$A$7:$A$32,A112,'Product decisions'!$H$7:$H$32,B112)</f>
        <v>1</v>
      </c>
      <c r="S112" s="3">
        <f>COUNTIFS('Product decisions'!$A$7:$A$32,A112,'Product decisions'!$I$7:$I$32,B112)</f>
        <v>1</v>
      </c>
      <c r="T112" s="3">
        <f>COUNTIFS('Product decisions'!$A$7:$A$32,A112,'Product decisions'!$J$7:$J$32,B112)</f>
        <v>0</v>
      </c>
      <c r="U112" s="26">
        <f t="shared" si="14"/>
        <v>0</v>
      </c>
      <c r="V112" s="3">
        <f>'Source data'!D7</f>
        <v>3</v>
      </c>
      <c r="W112" s="27">
        <f t="shared" si="9"/>
        <v>0.5436101861</v>
      </c>
      <c r="X112" s="27">
        <f t="shared" si="10"/>
        <v>1.191109375</v>
      </c>
    </row>
    <row r="113" ht="33.75" customHeight="1">
      <c r="A113" s="9" t="s">
        <v>74</v>
      </c>
      <c r="B113" s="3" t="s">
        <v>56</v>
      </c>
      <c r="C113" s="3" t="s">
        <v>53</v>
      </c>
      <c r="D113" s="43">
        <f>Assumptions!B22</f>
        <v>9000</v>
      </c>
      <c r="E113" s="44">
        <f>'Source data'!E8</f>
        <v>399</v>
      </c>
      <c r="F113" s="44">
        <f>'Source data'!F8</f>
        <v>184</v>
      </c>
      <c r="G113" s="51">
        <f>IF(B113="In-Store",'Source data'!J8+Assumptions!$B$15*'Source data'!K8,'Source data'!K8+Assumptions!$B$15*'Source data'!J8)*'Source data'!H8/'Source data'!G8*Assumptions!B9</f>
        <v>4036.5</v>
      </c>
      <c r="H113" s="51">
        <f t="shared" si="1"/>
        <v>4036.5</v>
      </c>
      <c r="I113" s="51">
        <f>(D113-H113)*Assumptions!C9</f>
        <v>4963.5</v>
      </c>
      <c r="J113" s="51">
        <f t="shared" si="2"/>
        <v>0</v>
      </c>
      <c r="K113" s="26">
        <f>E113*(H113+I113*Assumptions!D9)</f>
        <v>2600781.75</v>
      </c>
      <c r="L113" s="26">
        <f t="shared" si="3"/>
        <v>1656000</v>
      </c>
      <c r="M113" s="26">
        <f t="shared" si="4"/>
        <v>944781.75</v>
      </c>
      <c r="N113" s="26">
        <f t="shared" si="5"/>
        <v>944781.75</v>
      </c>
      <c r="O113" s="26">
        <f t="shared" si="6"/>
        <v>0</v>
      </c>
      <c r="P113" s="26">
        <f t="shared" si="7"/>
        <v>472390.875</v>
      </c>
      <c r="Q113" s="3">
        <f>COUNTIFS('Product decisions'!$A$7:$A$32,A113,'Product decisions'!$C$7:$C$32,B113)</f>
        <v>0</v>
      </c>
      <c r="R113" s="3">
        <f>COUNTIFS('Product decisions'!$A$7:$A$32,A113,'Product decisions'!$H$7:$H$32,B113)</f>
        <v>0</v>
      </c>
      <c r="S113" s="3">
        <f>COUNTIFS('Product decisions'!$A$7:$A$32,A113,'Product decisions'!$I$7:$I$32,B113)</f>
        <v>0</v>
      </c>
      <c r="T113" s="3">
        <f>COUNTIFS('Product decisions'!$A$7:$A$32,A113,'Product decisions'!$J$7:$J$32,B113)</f>
        <v>0</v>
      </c>
      <c r="U113" s="26">
        <f t="shared" si="14"/>
        <v>0</v>
      </c>
      <c r="V113" s="3">
        <f>'Source data'!D8</f>
        <v>2</v>
      </c>
      <c r="W113" s="27">
        <f t="shared" si="9"/>
        <v>0.3632683711</v>
      </c>
      <c r="X113" s="27">
        <f t="shared" si="10"/>
        <v>0.5705203804</v>
      </c>
    </row>
    <row r="114" ht="33.75" customHeight="1">
      <c r="A114" s="9" t="s">
        <v>74</v>
      </c>
      <c r="B114" s="3" t="s">
        <v>80</v>
      </c>
      <c r="C114" s="3" t="s">
        <v>53</v>
      </c>
      <c r="D114" s="43">
        <f>Assumptions!B22</f>
        <v>9000</v>
      </c>
      <c r="E114" s="44">
        <f>'Source data'!E8</f>
        <v>399</v>
      </c>
      <c r="F114" s="44">
        <f>'Source data'!F8</f>
        <v>184</v>
      </c>
      <c r="G114" s="51">
        <f>IF(B114="In-Store",'Source data'!J8+Assumptions!$B$15*'Source data'!K8,'Source data'!K8+Assumptions!$B$15*'Source data'!J8)*'Source data'!H8/'Source data'!G8*Assumptions!B9</f>
        <v>5278.5</v>
      </c>
      <c r="H114" s="51">
        <f t="shared" si="1"/>
        <v>5278.5</v>
      </c>
      <c r="I114" s="51">
        <f>(D114-H114)*Assumptions!C9</f>
        <v>3721.5</v>
      </c>
      <c r="J114" s="51">
        <f t="shared" si="2"/>
        <v>0</v>
      </c>
      <c r="K114" s="26">
        <f>E114*(H114+I114*Assumptions!D9)</f>
        <v>2848560.75</v>
      </c>
      <c r="L114" s="26">
        <f t="shared" si="3"/>
        <v>1656000</v>
      </c>
      <c r="M114" s="26">
        <f t="shared" si="4"/>
        <v>1192560.75</v>
      </c>
      <c r="N114" s="26">
        <f t="shared" si="5"/>
        <v>1192560.75</v>
      </c>
      <c r="O114" s="26">
        <f t="shared" si="6"/>
        <v>0</v>
      </c>
      <c r="P114" s="26">
        <f t="shared" si="7"/>
        <v>0</v>
      </c>
      <c r="Q114" s="3">
        <f>COUNTIFS('Product decisions'!$A$7:$A$32,A114,'Product decisions'!$C$7:$C$32,B114)</f>
        <v>1</v>
      </c>
      <c r="R114" s="3">
        <f>COUNTIFS('Product decisions'!$A$7:$A$32,A114,'Product decisions'!$H$7:$H$32,B114)</f>
        <v>1</v>
      </c>
      <c r="S114" s="3">
        <f>COUNTIFS('Product decisions'!$A$7:$A$32,A114,'Product decisions'!$I$7:$I$32,B114)</f>
        <v>0</v>
      </c>
      <c r="T114" s="3">
        <f>COUNTIFS('Product decisions'!$A$7:$A$32,A114,'Product decisions'!$J$7:$J$32,B114)</f>
        <v>1</v>
      </c>
      <c r="U114" s="26">
        <f t="shared" si="14"/>
        <v>0</v>
      </c>
      <c r="V114" s="3">
        <f>'Source data'!D8</f>
        <v>2</v>
      </c>
      <c r="W114" s="27">
        <f t="shared" si="9"/>
        <v>0.4186537886</v>
      </c>
      <c r="X114" s="27">
        <f t="shared" si="10"/>
        <v>0.7201453804</v>
      </c>
    </row>
    <row r="115" ht="33.75" customHeight="1">
      <c r="A115" s="9" t="s">
        <v>75</v>
      </c>
      <c r="B115" s="3" t="s">
        <v>56</v>
      </c>
      <c r="C115" s="3" t="s">
        <v>53</v>
      </c>
      <c r="D115" s="43">
        <f>Assumptions!B23</f>
        <v>12000</v>
      </c>
      <c r="E115" s="44">
        <f>'Source data'!E9</f>
        <v>279</v>
      </c>
      <c r="F115" s="44">
        <f>'Source data'!F9</f>
        <v>107</v>
      </c>
      <c r="G115" s="51">
        <f>IF(B115="In-Store",'Source data'!J9+Assumptions!$B$15*'Source data'!K9,'Source data'!K9+Assumptions!$B$15*'Source data'!J9)*'Source data'!H9/'Source data'!G9*Assumptions!B9</f>
        <v>8797.5</v>
      </c>
      <c r="H115" s="51">
        <f t="shared" si="1"/>
        <v>8797.5</v>
      </c>
      <c r="I115" s="51">
        <f>(D115-H115)*Assumptions!C9</f>
        <v>3202.5</v>
      </c>
      <c r="J115" s="51">
        <f t="shared" si="2"/>
        <v>0</v>
      </c>
      <c r="K115" s="26">
        <f>E115*(H115+I115*Assumptions!D9)</f>
        <v>2901251.25</v>
      </c>
      <c r="L115" s="26">
        <f t="shared" si="3"/>
        <v>1284000</v>
      </c>
      <c r="M115" s="26">
        <f t="shared" si="4"/>
        <v>1617251.25</v>
      </c>
      <c r="N115" s="26">
        <f t="shared" si="5"/>
        <v>1617251.25</v>
      </c>
      <c r="O115" s="26">
        <f t="shared" si="6"/>
        <v>0</v>
      </c>
      <c r="P115" s="26">
        <f t="shared" si="7"/>
        <v>1617251.25</v>
      </c>
      <c r="Q115" s="3">
        <f>COUNTIFS('Product decisions'!$A$7:$A$32,A115,'Product decisions'!$C$7:$C$32,B115)</f>
        <v>1</v>
      </c>
      <c r="R115" s="3">
        <f>COUNTIFS('Product decisions'!$A$7:$A$32,A115,'Product decisions'!$H$7:$H$32,B115)</f>
        <v>1</v>
      </c>
      <c r="S115" s="3">
        <f>COUNTIFS('Product decisions'!$A$7:$A$32,A115,'Product decisions'!$I$7:$I$32,B115)</f>
        <v>1</v>
      </c>
      <c r="T115" s="3">
        <f>COUNTIFS('Product decisions'!$A$7:$A$32,A115,'Product decisions'!$J$7:$J$32,B115)</f>
        <v>1</v>
      </c>
      <c r="U115" s="26">
        <f t="shared" si="14"/>
        <v>0</v>
      </c>
      <c r="V115" s="3">
        <f>'Source data'!D9</f>
        <v>1</v>
      </c>
      <c r="W115" s="27">
        <f t="shared" si="9"/>
        <v>0.557432332</v>
      </c>
      <c r="X115" s="27">
        <f t="shared" si="10"/>
        <v>1.259541472</v>
      </c>
    </row>
    <row r="116" ht="33.75" customHeight="1">
      <c r="A116" s="9" t="s">
        <v>75</v>
      </c>
      <c r="B116" s="3" t="s">
        <v>80</v>
      </c>
      <c r="C116" s="3" t="s">
        <v>53</v>
      </c>
      <c r="D116" s="43">
        <f>Assumptions!B23</f>
        <v>12000</v>
      </c>
      <c r="E116" s="44">
        <f>'Source data'!E9</f>
        <v>279</v>
      </c>
      <c r="F116" s="44">
        <f>'Source data'!F9</f>
        <v>107</v>
      </c>
      <c r="G116" s="51">
        <f>IF(B116="In-Store",'Source data'!J9+Assumptions!$B$15*'Source data'!K9,'Source data'!K9+Assumptions!$B$15*'Source data'!J9)*'Source data'!H9/'Source data'!G9*Assumptions!B9</f>
        <v>8797.5</v>
      </c>
      <c r="H116" s="51">
        <f t="shared" si="1"/>
        <v>8797.5</v>
      </c>
      <c r="I116" s="51">
        <f>(D116-H116)*Assumptions!C9</f>
        <v>3202.5</v>
      </c>
      <c r="J116" s="51">
        <f t="shared" si="2"/>
        <v>0</v>
      </c>
      <c r="K116" s="26">
        <f>E116*(H116+I116*Assumptions!D9)</f>
        <v>2901251.25</v>
      </c>
      <c r="L116" s="26">
        <f t="shared" si="3"/>
        <v>1284000</v>
      </c>
      <c r="M116" s="26">
        <f t="shared" si="4"/>
        <v>1617251.25</v>
      </c>
      <c r="N116" s="26">
        <f t="shared" si="5"/>
        <v>1617251.25</v>
      </c>
      <c r="O116" s="26">
        <f t="shared" si="6"/>
        <v>0</v>
      </c>
      <c r="P116" s="26">
        <f t="shared" si="7"/>
        <v>0</v>
      </c>
      <c r="Q116" s="3">
        <f>COUNTIFS('Product decisions'!$A$7:$A$32,A116,'Product decisions'!$C$7:$C$32,B116)</f>
        <v>0</v>
      </c>
      <c r="R116" s="3">
        <f>COUNTIFS('Product decisions'!$A$7:$A$32,A116,'Product decisions'!$H$7:$H$32,B116)</f>
        <v>0</v>
      </c>
      <c r="S116" s="3">
        <f>COUNTIFS('Product decisions'!$A$7:$A$32,A116,'Product decisions'!$I$7:$I$32,B116)</f>
        <v>0</v>
      </c>
      <c r="T116" s="3">
        <f>COUNTIFS('Product decisions'!$A$7:$A$32,A116,'Product decisions'!$J$7:$J$32,B116)</f>
        <v>0</v>
      </c>
      <c r="U116" s="26">
        <f t="shared" si="14"/>
        <v>0</v>
      </c>
      <c r="V116" s="3">
        <f>'Source data'!D9</f>
        <v>1</v>
      </c>
      <c r="W116" s="27">
        <f t="shared" si="9"/>
        <v>0.557432332</v>
      </c>
      <c r="X116" s="27">
        <f t="shared" si="10"/>
        <v>1.259541472</v>
      </c>
    </row>
    <row r="117" ht="33.75" customHeight="1">
      <c r="A117" s="9" t="s">
        <v>77</v>
      </c>
      <c r="B117" s="3" t="s">
        <v>56</v>
      </c>
      <c r="C117" s="3" t="s">
        <v>53</v>
      </c>
      <c r="D117" s="43">
        <f>Assumptions!B24</f>
        <v>14000</v>
      </c>
      <c r="E117" s="44">
        <f>'Source data'!E10</f>
        <v>129</v>
      </c>
      <c r="F117" s="44">
        <f>'Source data'!F10</f>
        <v>42</v>
      </c>
      <c r="G117" s="51">
        <f>IF(B117="In-Store",'Source data'!J10+Assumptions!$B$15*'Source data'!K10,'Source data'!K10+Assumptions!$B$15*'Source data'!J10)*'Source data'!H10/'Source data'!G10*Assumptions!B9</f>
        <v>9982</v>
      </c>
      <c r="H117" s="51">
        <f t="shared" si="1"/>
        <v>9982</v>
      </c>
      <c r="I117" s="51">
        <f>(D117-H117)*Assumptions!C9</f>
        <v>4018</v>
      </c>
      <c r="J117" s="51">
        <f t="shared" si="2"/>
        <v>0</v>
      </c>
      <c r="K117" s="26">
        <f>E117*(H117+I117*Assumptions!D9)</f>
        <v>1546839</v>
      </c>
      <c r="L117" s="26">
        <f t="shared" si="3"/>
        <v>588000</v>
      </c>
      <c r="M117" s="26">
        <f t="shared" si="4"/>
        <v>958839</v>
      </c>
      <c r="N117" s="26">
        <f t="shared" si="5"/>
        <v>958839</v>
      </c>
      <c r="O117" s="26">
        <f t="shared" si="6"/>
        <v>0</v>
      </c>
      <c r="P117" s="26">
        <f t="shared" si="7"/>
        <v>958839</v>
      </c>
      <c r="Q117" s="3">
        <f>COUNTIFS('Product decisions'!$A$7:$A$32,A117,'Product decisions'!$C$7:$C$32,B117)</f>
        <v>1</v>
      </c>
      <c r="R117" s="3">
        <f>COUNTIFS('Product decisions'!$A$7:$A$32,A117,'Product decisions'!$H$7:$H$32,B117)</f>
        <v>1</v>
      </c>
      <c r="S117" s="3">
        <f>COUNTIFS('Product decisions'!$A$7:$A$32,A117,'Product decisions'!$I$7:$I$32,B117)</f>
        <v>1</v>
      </c>
      <c r="T117" s="3">
        <f>COUNTIFS('Product decisions'!$A$7:$A$32,A117,'Product decisions'!$J$7:$J$32,B117)</f>
        <v>1</v>
      </c>
      <c r="U117" s="26">
        <f t="shared" si="14"/>
        <v>0</v>
      </c>
      <c r="V117" s="3">
        <f>'Source data'!D10</f>
        <v>1</v>
      </c>
      <c r="W117" s="27">
        <f t="shared" si="9"/>
        <v>0.6198699412</v>
      </c>
      <c r="X117" s="27">
        <f t="shared" si="10"/>
        <v>1.630678571</v>
      </c>
    </row>
    <row r="118" ht="33.75" customHeight="1">
      <c r="A118" s="9" t="s">
        <v>77</v>
      </c>
      <c r="B118" s="3" t="s">
        <v>80</v>
      </c>
      <c r="C118" s="3" t="s">
        <v>53</v>
      </c>
      <c r="D118" s="43">
        <f>Assumptions!B24</f>
        <v>14000</v>
      </c>
      <c r="E118" s="44">
        <f>'Source data'!E10</f>
        <v>129</v>
      </c>
      <c r="F118" s="44">
        <f>'Source data'!F10</f>
        <v>42</v>
      </c>
      <c r="G118" s="51">
        <f>IF(B118="In-Store",'Source data'!J10+Assumptions!$B$15*'Source data'!K10,'Source data'!K10+Assumptions!$B$15*'Source data'!J10)*'Source data'!H10/'Source data'!G10*Assumptions!B9</f>
        <v>9338</v>
      </c>
      <c r="H118" s="51">
        <f t="shared" si="1"/>
        <v>9338</v>
      </c>
      <c r="I118" s="51">
        <f>(D118-H118)*Assumptions!C9</f>
        <v>4662</v>
      </c>
      <c r="J118" s="51">
        <f t="shared" si="2"/>
        <v>0</v>
      </c>
      <c r="K118" s="26">
        <f>E118*(H118+I118*Assumptions!D9)</f>
        <v>1505301</v>
      </c>
      <c r="L118" s="26">
        <f t="shared" si="3"/>
        <v>588000</v>
      </c>
      <c r="M118" s="26">
        <f t="shared" si="4"/>
        <v>917301</v>
      </c>
      <c r="N118" s="26">
        <f t="shared" si="5"/>
        <v>917301</v>
      </c>
      <c r="O118" s="26">
        <f t="shared" si="6"/>
        <v>0</v>
      </c>
      <c r="P118" s="26">
        <f t="shared" si="7"/>
        <v>0</v>
      </c>
      <c r="Q118" s="3">
        <f>COUNTIFS('Product decisions'!$A$7:$A$32,A118,'Product decisions'!$C$7:$C$32,B118)</f>
        <v>0</v>
      </c>
      <c r="R118" s="3">
        <f>COUNTIFS('Product decisions'!$A$7:$A$32,A118,'Product decisions'!$H$7:$H$32,B118)</f>
        <v>0</v>
      </c>
      <c r="S118" s="3">
        <f>COUNTIFS('Product decisions'!$A$7:$A$32,A118,'Product decisions'!$I$7:$I$32,B118)</f>
        <v>0</v>
      </c>
      <c r="T118" s="3">
        <f>COUNTIFS('Product decisions'!$A$7:$A$32,A118,'Product decisions'!$J$7:$J$32,B118)</f>
        <v>0</v>
      </c>
      <c r="U118" s="26">
        <f t="shared" si="14"/>
        <v>0</v>
      </c>
      <c r="V118" s="3">
        <f>'Source data'!D10</f>
        <v>1</v>
      </c>
      <c r="W118" s="27">
        <f t="shared" si="9"/>
        <v>0.6093804495</v>
      </c>
      <c r="X118" s="27">
        <f t="shared" si="10"/>
        <v>1.560035714</v>
      </c>
    </row>
    <row r="119" ht="33.75" customHeight="1">
      <c r="A119" s="9" t="s">
        <v>78</v>
      </c>
      <c r="B119" s="3" t="s">
        <v>56</v>
      </c>
      <c r="C119" s="3" t="s">
        <v>53</v>
      </c>
      <c r="D119" s="43">
        <f>Assumptions!B25</f>
        <v>8000</v>
      </c>
      <c r="E119" s="44">
        <f>'Source data'!E11</f>
        <v>149</v>
      </c>
      <c r="F119" s="44">
        <f>'Source data'!F11</f>
        <v>132</v>
      </c>
      <c r="G119" s="51">
        <f>IF(B119="In-Store",'Source data'!J11+Assumptions!$B$15*'Source data'!K11,'Source data'!K11+Assumptions!$B$15*'Source data'!J11)*'Source data'!H11/'Source data'!G11*Assumptions!B9</f>
        <v>5474</v>
      </c>
      <c r="H119" s="51">
        <f t="shared" si="1"/>
        <v>5474</v>
      </c>
      <c r="I119" s="51">
        <f>(D119-H119)*Assumptions!C9</f>
        <v>2526</v>
      </c>
      <c r="J119" s="51">
        <f t="shared" si="2"/>
        <v>0</v>
      </c>
      <c r="K119" s="26">
        <f>E119*(H119+I119*Assumptions!D9)</f>
        <v>1003813</v>
      </c>
      <c r="L119" s="26">
        <f t="shared" si="3"/>
        <v>1056000</v>
      </c>
      <c r="M119" s="26">
        <f t="shared" si="4"/>
        <v>-52187</v>
      </c>
      <c r="N119" s="26">
        <f t="shared" si="5"/>
        <v>-52187</v>
      </c>
      <c r="O119" s="26">
        <f t="shared" si="6"/>
        <v>0</v>
      </c>
      <c r="P119" s="26">
        <f t="shared" si="7"/>
        <v>-26093.5</v>
      </c>
      <c r="Q119" s="3">
        <f>COUNTIFS('Product decisions'!$A$7:$A$32,A119,'Product decisions'!$C$7:$C$32,B119)</f>
        <v>0</v>
      </c>
      <c r="R119" s="3">
        <f>COUNTIFS('Product decisions'!$A$7:$A$32,A119,'Product decisions'!$H$7:$H$32,B119)</f>
        <v>0</v>
      </c>
      <c r="S119" s="3">
        <f>COUNTIFS('Product decisions'!$A$7:$A$32,A119,'Product decisions'!$I$7:$I$32,B119)</f>
        <v>0</v>
      </c>
      <c r="T119" s="3">
        <f>COUNTIFS('Product decisions'!$A$7:$A$32,A119,'Product decisions'!$J$7:$J$32,B119)</f>
        <v>0</v>
      </c>
      <c r="U119" s="26">
        <f t="shared" si="14"/>
        <v>0</v>
      </c>
      <c r="V119" s="3">
        <f>'Source data'!D11</f>
        <v>2</v>
      </c>
      <c r="W119" s="27">
        <f t="shared" si="9"/>
        <v>-0.05198876683</v>
      </c>
      <c r="X119" s="27">
        <f t="shared" si="10"/>
        <v>-0.04941950758</v>
      </c>
    </row>
    <row r="120" ht="33.75" customHeight="1">
      <c r="A120" s="9" t="s">
        <v>78</v>
      </c>
      <c r="B120" s="3" t="s">
        <v>80</v>
      </c>
      <c r="C120" s="3" t="s">
        <v>53</v>
      </c>
      <c r="D120" s="43">
        <f>Assumptions!B25</f>
        <v>8000</v>
      </c>
      <c r="E120" s="44">
        <f>'Source data'!E11</f>
        <v>149</v>
      </c>
      <c r="F120" s="44">
        <f>'Source data'!F11</f>
        <v>132</v>
      </c>
      <c r="G120" s="51">
        <f>IF(B120="In-Store",'Source data'!J11+Assumptions!$B$15*'Source data'!K11,'Source data'!K11+Assumptions!$B$15*'Source data'!J11)*'Source data'!H11/'Source data'!G11*Assumptions!B9</f>
        <v>6256</v>
      </c>
      <c r="H120" s="51">
        <f t="shared" si="1"/>
        <v>6256</v>
      </c>
      <c r="I120" s="51">
        <f>(D120-H120)*Assumptions!C9</f>
        <v>1744</v>
      </c>
      <c r="J120" s="51">
        <f t="shared" si="2"/>
        <v>0</v>
      </c>
      <c r="K120" s="26">
        <f>E120*(H120+I120*Assumptions!D9)</f>
        <v>1062072</v>
      </c>
      <c r="L120" s="26">
        <f t="shared" si="3"/>
        <v>1056000</v>
      </c>
      <c r="M120" s="26">
        <f t="shared" si="4"/>
        <v>6072</v>
      </c>
      <c r="N120" s="26">
        <f t="shared" si="5"/>
        <v>6072</v>
      </c>
      <c r="O120" s="26">
        <f t="shared" si="6"/>
        <v>0</v>
      </c>
      <c r="P120" s="26">
        <f t="shared" si="7"/>
        <v>0</v>
      </c>
      <c r="Q120" s="3">
        <f>COUNTIFS('Product decisions'!$A$7:$A$32,A120,'Product decisions'!$C$7:$C$32,B120)</f>
        <v>0</v>
      </c>
      <c r="R120" s="3">
        <f>COUNTIFS('Product decisions'!$A$7:$A$32,A120,'Product decisions'!$H$7:$H$32,B120)</f>
        <v>0</v>
      </c>
      <c r="S120" s="3">
        <f>COUNTIFS('Product decisions'!$A$7:$A$32,A120,'Product decisions'!$I$7:$I$32,B120)</f>
        <v>0</v>
      </c>
      <c r="T120" s="3">
        <f>COUNTIFS('Product decisions'!$A$7:$A$32,A120,'Product decisions'!$J$7:$J$32,B120)</f>
        <v>0</v>
      </c>
      <c r="U120" s="26">
        <f t="shared" si="14"/>
        <v>0</v>
      </c>
      <c r="V120" s="3">
        <f>'Source data'!D11</f>
        <v>2</v>
      </c>
      <c r="W120" s="27">
        <f t="shared" si="9"/>
        <v>0.005717126522</v>
      </c>
      <c r="X120" s="27">
        <f t="shared" si="10"/>
        <v>0.00575</v>
      </c>
    </row>
    <row r="121" ht="33.75" customHeight="1">
      <c r="A121" s="9" t="s">
        <v>79</v>
      </c>
      <c r="B121" s="3" t="s">
        <v>56</v>
      </c>
      <c r="C121" s="3" t="s">
        <v>53</v>
      </c>
      <c r="D121" s="43">
        <f>Assumptions!B26</f>
        <v>5000</v>
      </c>
      <c r="E121" s="44">
        <f>'Source data'!E12</f>
        <v>269</v>
      </c>
      <c r="F121" s="44">
        <f>'Source data'!F12</f>
        <v>160</v>
      </c>
      <c r="G121" s="51">
        <f>IF(B121="In-Store",'Source data'!J12+Assumptions!$B$15*'Source data'!K12,'Source data'!K12+Assumptions!$B$15*'Source data'!J12)*'Source data'!H12/'Source data'!G12*Assumptions!B9</f>
        <v>3105</v>
      </c>
      <c r="H121" s="51">
        <f t="shared" si="1"/>
        <v>3105</v>
      </c>
      <c r="I121" s="51">
        <f>(D121-H121)*Assumptions!C9</f>
        <v>1895</v>
      </c>
      <c r="J121" s="51">
        <f t="shared" si="2"/>
        <v>0</v>
      </c>
      <c r="K121" s="26">
        <f>E121*(H121+I121*Assumptions!D9)</f>
        <v>1090122.5</v>
      </c>
      <c r="L121" s="26">
        <f t="shared" si="3"/>
        <v>800000</v>
      </c>
      <c r="M121" s="26">
        <f t="shared" si="4"/>
        <v>290122.5</v>
      </c>
      <c r="N121" s="26">
        <f t="shared" si="5"/>
        <v>290122.5</v>
      </c>
      <c r="O121" s="26">
        <f t="shared" si="6"/>
        <v>0</v>
      </c>
      <c r="P121" s="26">
        <f t="shared" si="7"/>
        <v>290122.5</v>
      </c>
      <c r="Q121" s="3">
        <f>COUNTIFS('Product decisions'!$A$7:$A$32,A121,'Product decisions'!$C$7:$C$32,B121)</f>
        <v>1</v>
      </c>
      <c r="R121" s="3">
        <f>COUNTIFS('Product decisions'!$A$7:$A$32,A121,'Product decisions'!$H$7:$H$32,B121)</f>
        <v>0</v>
      </c>
      <c r="S121" s="3">
        <f>COUNTIFS('Product decisions'!$A$7:$A$32,A121,'Product decisions'!$I$7:$I$32,B121)</f>
        <v>0</v>
      </c>
      <c r="T121" s="3">
        <f>COUNTIFS('Product decisions'!$A$7:$A$32,A121,'Product decisions'!$J$7:$J$32,B121)</f>
        <v>1</v>
      </c>
      <c r="U121" s="26">
        <f t="shared" si="14"/>
        <v>0</v>
      </c>
      <c r="V121" s="3">
        <f>'Source data'!D12</f>
        <v>1</v>
      </c>
      <c r="W121" s="27">
        <f t="shared" si="9"/>
        <v>0.2661375212</v>
      </c>
      <c r="X121" s="27">
        <f t="shared" si="10"/>
        <v>0.362653125</v>
      </c>
    </row>
    <row r="122" ht="33.75" customHeight="1">
      <c r="A122" s="9" t="s">
        <v>79</v>
      </c>
      <c r="B122" s="3" t="s">
        <v>80</v>
      </c>
      <c r="C122" s="3" t="s">
        <v>53</v>
      </c>
      <c r="D122" s="43">
        <f>Assumptions!B26</f>
        <v>5000</v>
      </c>
      <c r="E122" s="44">
        <f>'Source data'!E12</f>
        <v>269</v>
      </c>
      <c r="F122" s="44">
        <f>'Source data'!F12</f>
        <v>160</v>
      </c>
      <c r="G122" s="51">
        <f>IF(B122="In-Store",'Source data'!J12+Assumptions!$B$15*'Source data'!K12,'Source data'!K12+Assumptions!$B$15*'Source data'!J12)*'Source data'!H12/'Source data'!G12*Assumptions!B9</f>
        <v>3795</v>
      </c>
      <c r="H122" s="51">
        <f t="shared" si="1"/>
        <v>3795</v>
      </c>
      <c r="I122" s="51">
        <f>(D122-H122)*Assumptions!C9</f>
        <v>1205</v>
      </c>
      <c r="J122" s="51">
        <f t="shared" si="2"/>
        <v>0</v>
      </c>
      <c r="K122" s="26">
        <f>E122*(H122+I122*Assumptions!D9)</f>
        <v>1182927.5</v>
      </c>
      <c r="L122" s="26">
        <f t="shared" si="3"/>
        <v>800000</v>
      </c>
      <c r="M122" s="26">
        <f t="shared" si="4"/>
        <v>382927.5</v>
      </c>
      <c r="N122" s="26">
        <f t="shared" si="5"/>
        <v>382927.5</v>
      </c>
      <c r="O122" s="26">
        <f t="shared" si="6"/>
        <v>0</v>
      </c>
      <c r="P122" s="26">
        <f t="shared" si="7"/>
        <v>0</v>
      </c>
      <c r="Q122" s="3">
        <f>COUNTIFS('Product decisions'!$A$7:$A$32,A122,'Product decisions'!$C$7:$C$32,B122)</f>
        <v>0</v>
      </c>
      <c r="R122" s="3">
        <f>COUNTIFS('Product decisions'!$A$7:$A$32,A122,'Product decisions'!$H$7:$H$32,B122)</f>
        <v>0</v>
      </c>
      <c r="S122" s="3">
        <f>COUNTIFS('Product decisions'!$A$7:$A$32,A122,'Product decisions'!$I$7:$I$32,B122)</f>
        <v>0</v>
      </c>
      <c r="T122" s="3">
        <f>COUNTIFS('Product decisions'!$A$7:$A$32,A122,'Product decisions'!$J$7:$J$32,B122)</f>
        <v>0</v>
      </c>
      <c r="U122" s="26">
        <f t="shared" si="14"/>
        <v>0</v>
      </c>
      <c r="V122" s="3">
        <f>'Source data'!D12</f>
        <v>1</v>
      </c>
      <c r="W122" s="27">
        <f t="shared" si="9"/>
        <v>0.3237117237</v>
      </c>
      <c r="X122" s="27">
        <f t="shared" si="10"/>
        <v>0.478659375</v>
      </c>
    </row>
    <row r="123" ht="33.75" customHeight="1">
      <c r="A123" s="9" t="s">
        <v>81</v>
      </c>
      <c r="B123" s="3" t="s">
        <v>56</v>
      </c>
      <c r="C123" s="3" t="s">
        <v>53</v>
      </c>
      <c r="D123" s="43">
        <f>Assumptions!B27</f>
        <v>6000</v>
      </c>
      <c r="E123" s="44">
        <f>'Source data'!E13</f>
        <v>119</v>
      </c>
      <c r="F123" s="44">
        <f>'Source data'!F13</f>
        <v>87</v>
      </c>
      <c r="G123" s="51">
        <f>IF(B123="In-Store",'Source data'!J13+Assumptions!$B$15*'Source data'!K13,'Source data'!K13+Assumptions!$B$15*'Source data'!J13)*'Source data'!H13/'Source data'!G13*Assumptions!B9</f>
        <v>2501.25</v>
      </c>
      <c r="H123" s="51">
        <f t="shared" si="1"/>
        <v>2501.25</v>
      </c>
      <c r="I123" s="51">
        <f>(D123-H123)*Assumptions!C9</f>
        <v>3498.75</v>
      </c>
      <c r="J123" s="51">
        <f t="shared" si="2"/>
        <v>0</v>
      </c>
      <c r="K123" s="26">
        <f>E123*(H123+I123*Assumptions!D9)</f>
        <v>505824.375</v>
      </c>
      <c r="L123" s="26">
        <f t="shared" si="3"/>
        <v>522000</v>
      </c>
      <c r="M123" s="26">
        <f t="shared" si="4"/>
        <v>-16175.625</v>
      </c>
      <c r="N123" s="26">
        <f t="shared" si="5"/>
        <v>-16175.625</v>
      </c>
      <c r="O123" s="26">
        <f t="shared" si="6"/>
        <v>0</v>
      </c>
      <c r="P123" s="26">
        <f t="shared" si="7"/>
        <v>-16175.625</v>
      </c>
      <c r="Q123" s="3">
        <f>COUNTIFS('Product decisions'!$A$7:$A$32,A123,'Product decisions'!$C$7:$C$32,B123)</f>
        <v>0</v>
      </c>
      <c r="R123" s="3">
        <f>COUNTIFS('Product decisions'!$A$7:$A$32,A123,'Product decisions'!$H$7:$H$32,B123)</f>
        <v>0</v>
      </c>
      <c r="S123" s="3">
        <f>COUNTIFS('Product decisions'!$A$7:$A$32,A123,'Product decisions'!$I$7:$I$32,B123)</f>
        <v>0</v>
      </c>
      <c r="T123" s="3">
        <f>COUNTIFS('Product decisions'!$A$7:$A$32,A123,'Product decisions'!$J$7:$J$32,B123)</f>
        <v>0</v>
      </c>
      <c r="U123" s="26">
        <f t="shared" si="14"/>
        <v>0</v>
      </c>
      <c r="V123" s="3">
        <f>'Source data'!D13</f>
        <v>1</v>
      </c>
      <c r="W123" s="27">
        <f t="shared" si="9"/>
        <v>-0.03197873768</v>
      </c>
      <c r="X123" s="27">
        <f t="shared" si="10"/>
        <v>-0.03098778736</v>
      </c>
    </row>
    <row r="124" ht="33.75" customHeight="1">
      <c r="A124" s="9" t="s">
        <v>81</v>
      </c>
      <c r="B124" s="3" t="s">
        <v>80</v>
      </c>
      <c r="C124" s="3" t="s">
        <v>53</v>
      </c>
      <c r="D124" s="43">
        <f>Assumptions!B27</f>
        <v>6000</v>
      </c>
      <c r="E124" s="44">
        <f>'Source data'!E13</f>
        <v>119</v>
      </c>
      <c r="F124" s="44">
        <f>'Source data'!F13</f>
        <v>87</v>
      </c>
      <c r="G124" s="51">
        <f>IF(B124="In-Store",'Source data'!J13+Assumptions!$B$15*'Source data'!K13,'Source data'!K13+Assumptions!$B$15*'Source data'!J13)*'Source data'!H13/'Source data'!G13*Assumptions!B9</f>
        <v>2673.75</v>
      </c>
      <c r="H124" s="51">
        <f t="shared" si="1"/>
        <v>2673.75</v>
      </c>
      <c r="I124" s="51">
        <f>(D124-H124)*Assumptions!C9</f>
        <v>3326.25</v>
      </c>
      <c r="J124" s="51">
        <f t="shared" si="2"/>
        <v>0</v>
      </c>
      <c r="K124" s="26">
        <f>E124*(H124+I124*Assumptions!D9)</f>
        <v>516088.125</v>
      </c>
      <c r="L124" s="26">
        <f t="shared" si="3"/>
        <v>522000</v>
      </c>
      <c r="M124" s="26">
        <f t="shared" si="4"/>
        <v>-5911.875</v>
      </c>
      <c r="N124" s="26">
        <f t="shared" si="5"/>
        <v>-5911.875</v>
      </c>
      <c r="O124" s="26">
        <f t="shared" si="6"/>
        <v>0</v>
      </c>
      <c r="P124" s="26">
        <f t="shared" si="7"/>
        <v>0</v>
      </c>
      <c r="Q124" s="3">
        <f>COUNTIFS('Product decisions'!$A$7:$A$32,A124,'Product decisions'!$C$7:$C$32,B124)</f>
        <v>0</v>
      </c>
      <c r="R124" s="3">
        <f>COUNTIFS('Product decisions'!$A$7:$A$32,A124,'Product decisions'!$H$7:$H$32,B124)</f>
        <v>0</v>
      </c>
      <c r="S124" s="3">
        <f>COUNTIFS('Product decisions'!$A$7:$A$32,A124,'Product decisions'!$I$7:$I$32,B124)</f>
        <v>0</v>
      </c>
      <c r="T124" s="3">
        <f>COUNTIFS('Product decisions'!$A$7:$A$32,A124,'Product decisions'!$J$7:$J$32,B124)</f>
        <v>0</v>
      </c>
      <c r="U124" s="26">
        <f t="shared" si="14"/>
        <v>0</v>
      </c>
      <c r="V124" s="3">
        <f>'Source data'!D13</f>
        <v>1</v>
      </c>
      <c r="W124" s="27">
        <f t="shared" si="9"/>
        <v>-0.01145516572</v>
      </c>
      <c r="X124" s="27">
        <f t="shared" si="10"/>
        <v>-0.01132543103</v>
      </c>
    </row>
    <row r="125" ht="33.75" customHeight="1">
      <c r="A125" s="9" t="s">
        <v>82</v>
      </c>
      <c r="B125" s="3" t="s">
        <v>56</v>
      </c>
      <c r="C125" s="3" t="s">
        <v>53</v>
      </c>
      <c r="D125" s="43">
        <f>Assumptions!B28</f>
        <v>20000</v>
      </c>
      <c r="E125" s="44">
        <f>'Source data'!E14</f>
        <v>59</v>
      </c>
      <c r="F125" s="44">
        <f>'Source data'!F14</f>
        <v>35</v>
      </c>
      <c r="G125" s="51">
        <f>IF(B125="In-Store",'Source data'!J14+Assumptions!$B$15*'Source data'!K14,'Source data'!K14+Assumptions!$B$15*'Source data'!J14)*'Source data'!H14/'Source data'!G14*Assumptions!B9</f>
        <v>16128.75</v>
      </c>
      <c r="H125" s="51">
        <f t="shared" si="1"/>
        <v>16128.75</v>
      </c>
      <c r="I125" s="51">
        <f>(D125-H125)*Assumptions!C9</f>
        <v>3871.25</v>
      </c>
      <c r="J125" s="51">
        <f t="shared" si="2"/>
        <v>0</v>
      </c>
      <c r="K125" s="26">
        <f>E125*(H125+I125*Assumptions!D9)</f>
        <v>1065798.125</v>
      </c>
      <c r="L125" s="26">
        <f t="shared" si="3"/>
        <v>700000</v>
      </c>
      <c r="M125" s="26">
        <f t="shared" si="4"/>
        <v>365798.125</v>
      </c>
      <c r="N125" s="26">
        <f t="shared" si="5"/>
        <v>365798.125</v>
      </c>
      <c r="O125" s="26">
        <f t="shared" si="6"/>
        <v>0</v>
      </c>
      <c r="P125" s="26">
        <f t="shared" si="7"/>
        <v>365798.125</v>
      </c>
      <c r="Q125" s="3">
        <f>COUNTIFS('Product decisions'!$A$7:$A$32,A125,'Product decisions'!$C$7:$C$32,B125)</f>
        <v>1</v>
      </c>
      <c r="R125" s="3">
        <f>COUNTIFS('Product decisions'!$A$7:$A$32,A125,'Product decisions'!$H$7:$H$32,B125)</f>
        <v>0</v>
      </c>
      <c r="S125" s="3">
        <f>COUNTIFS('Product decisions'!$A$7:$A$32,A125,'Product decisions'!$I$7:$I$32,B125)</f>
        <v>0</v>
      </c>
      <c r="T125" s="3">
        <f>COUNTIFS('Product decisions'!$A$7:$A$32,A125,'Product decisions'!$J$7:$J$32,B125)</f>
        <v>1</v>
      </c>
      <c r="U125" s="26">
        <f t="shared" si="14"/>
        <v>0</v>
      </c>
      <c r="V125" s="3">
        <f>'Source data'!D14</f>
        <v>1</v>
      </c>
      <c r="W125" s="27">
        <f t="shared" si="9"/>
        <v>0.3432152079</v>
      </c>
      <c r="X125" s="27">
        <f t="shared" si="10"/>
        <v>0.52256875</v>
      </c>
    </row>
    <row r="126" ht="33.75" customHeight="1">
      <c r="A126" s="9" t="s">
        <v>82</v>
      </c>
      <c r="B126" s="3" t="s">
        <v>80</v>
      </c>
      <c r="C126" s="3" t="s">
        <v>53</v>
      </c>
      <c r="D126" s="43">
        <f>Assumptions!B28</f>
        <v>20000</v>
      </c>
      <c r="E126" s="44">
        <f>'Source data'!E14</f>
        <v>59</v>
      </c>
      <c r="F126" s="44">
        <f>'Source data'!F14</f>
        <v>35</v>
      </c>
      <c r="G126" s="51">
        <f>IF(B126="In-Store",'Source data'!J14+Assumptions!$B$15*'Source data'!K14,'Source data'!K14+Assumptions!$B$15*'Source data'!J14)*'Source data'!H14/'Source data'!G14*Assumptions!B9</f>
        <v>13196.25</v>
      </c>
      <c r="H126" s="51">
        <f t="shared" si="1"/>
        <v>13196.25</v>
      </c>
      <c r="I126" s="51">
        <f>(D126-H126)*Assumptions!C9</f>
        <v>6803.75</v>
      </c>
      <c r="J126" s="51">
        <f t="shared" si="2"/>
        <v>0</v>
      </c>
      <c r="K126" s="26">
        <f>E126*(H126+I126*Assumptions!D9)</f>
        <v>979289.375</v>
      </c>
      <c r="L126" s="26">
        <f t="shared" si="3"/>
        <v>700000</v>
      </c>
      <c r="M126" s="26">
        <f t="shared" si="4"/>
        <v>279289.375</v>
      </c>
      <c r="N126" s="26">
        <f t="shared" si="5"/>
        <v>279289.375</v>
      </c>
      <c r="O126" s="26">
        <f t="shared" si="6"/>
        <v>0</v>
      </c>
      <c r="P126" s="26">
        <f t="shared" si="7"/>
        <v>0</v>
      </c>
      <c r="Q126" s="3">
        <f>COUNTIFS('Product decisions'!$A$7:$A$32,A126,'Product decisions'!$C$7:$C$32,B126)</f>
        <v>0</v>
      </c>
      <c r="R126" s="3">
        <f>COUNTIFS('Product decisions'!$A$7:$A$32,A126,'Product decisions'!$H$7:$H$32,B126)</f>
        <v>0</v>
      </c>
      <c r="S126" s="3">
        <f>COUNTIFS('Product decisions'!$A$7:$A$32,A126,'Product decisions'!$I$7:$I$32,B126)</f>
        <v>0</v>
      </c>
      <c r="T126" s="3">
        <f>COUNTIFS('Product decisions'!$A$7:$A$32,A126,'Product decisions'!$J$7:$J$32,B126)</f>
        <v>0</v>
      </c>
      <c r="U126" s="26">
        <f t="shared" si="14"/>
        <v>0</v>
      </c>
      <c r="V126" s="3">
        <f>'Source data'!D14</f>
        <v>1</v>
      </c>
      <c r="W126" s="27">
        <f t="shared" si="9"/>
        <v>0.2851959616</v>
      </c>
      <c r="X126" s="27">
        <f t="shared" si="10"/>
        <v>0.3989848214</v>
      </c>
    </row>
    <row r="127" ht="33.75" customHeight="1">
      <c r="A127" s="9" t="s">
        <v>83</v>
      </c>
      <c r="B127" s="3" t="s">
        <v>56</v>
      </c>
      <c r="C127" s="3" t="s">
        <v>53</v>
      </c>
      <c r="D127" s="43">
        <f>Assumptions!B29</f>
        <v>30000</v>
      </c>
      <c r="E127" s="44">
        <f>'Source data'!E15</f>
        <v>24.98</v>
      </c>
      <c r="F127" s="44">
        <f>'Source data'!F15</f>
        <v>4.25</v>
      </c>
      <c r="G127" s="51">
        <f>IF(B127="In-Store",'Source data'!J15+Assumptions!$B$15*'Source data'!K15,'Source data'!K15+Assumptions!$B$15*'Source data'!J15)*'Source data'!H15/'Source data'!G15*Assumptions!B9</f>
        <v>23460</v>
      </c>
      <c r="H127" s="51">
        <f t="shared" si="1"/>
        <v>23460</v>
      </c>
      <c r="I127" s="51">
        <f>(D127-H127)*Assumptions!C9</f>
        <v>6540</v>
      </c>
      <c r="J127" s="51">
        <f t="shared" si="2"/>
        <v>0</v>
      </c>
      <c r="K127" s="26">
        <f>E127*(H127+I127*Assumptions!D9)</f>
        <v>667715.4</v>
      </c>
      <c r="L127" s="26">
        <f t="shared" si="3"/>
        <v>127500</v>
      </c>
      <c r="M127" s="26">
        <f t="shared" si="4"/>
        <v>540215.4</v>
      </c>
      <c r="N127" s="26">
        <f t="shared" si="5"/>
        <v>540215.4</v>
      </c>
      <c r="O127" s="26">
        <f t="shared" si="6"/>
        <v>0</v>
      </c>
      <c r="P127" s="26">
        <f t="shared" si="7"/>
        <v>540215.4</v>
      </c>
      <c r="Q127" s="3">
        <f>COUNTIFS('Product decisions'!$A$7:$A$32,A127,'Product decisions'!$C$7:$C$32,B127)</f>
        <v>1</v>
      </c>
      <c r="R127" s="3">
        <f>COUNTIFS('Product decisions'!$A$7:$A$32,A127,'Product decisions'!$H$7:$H$32,B127)</f>
        <v>1</v>
      </c>
      <c r="S127" s="3">
        <f>COUNTIFS('Product decisions'!$A$7:$A$32,A127,'Product decisions'!$I$7:$I$32,B127)</f>
        <v>1</v>
      </c>
      <c r="T127" s="3">
        <f>COUNTIFS('Product decisions'!$A$7:$A$32,A127,'Product decisions'!$J$7:$J$32,B127)</f>
        <v>1</v>
      </c>
      <c r="U127" s="26">
        <f t="shared" si="14"/>
        <v>0</v>
      </c>
      <c r="V127" s="3">
        <f>'Source data'!D15</f>
        <v>1</v>
      </c>
      <c r="W127" s="27">
        <f t="shared" si="9"/>
        <v>0.8090503828</v>
      </c>
      <c r="X127" s="27">
        <f t="shared" si="10"/>
        <v>4.236983529</v>
      </c>
    </row>
    <row r="128" ht="33.75" customHeight="1">
      <c r="A128" s="9" t="s">
        <v>83</v>
      </c>
      <c r="B128" s="3" t="s">
        <v>80</v>
      </c>
      <c r="C128" s="3" t="s">
        <v>53</v>
      </c>
      <c r="D128" s="43">
        <f>Assumptions!B29</f>
        <v>30000</v>
      </c>
      <c r="E128" s="44">
        <f>'Source data'!E15</f>
        <v>24.98</v>
      </c>
      <c r="F128" s="44">
        <f>'Source data'!F15</f>
        <v>4.25</v>
      </c>
      <c r="G128" s="51">
        <f>IF(B128="In-Store",'Source data'!J15+Assumptions!$B$15*'Source data'!K15,'Source data'!K15+Assumptions!$B$15*'Source data'!J15)*'Source data'!H15/'Source data'!G15*Assumptions!B9</f>
        <v>17940</v>
      </c>
      <c r="H128" s="51">
        <f t="shared" si="1"/>
        <v>17940</v>
      </c>
      <c r="I128" s="51">
        <f>(D128-H128)*Assumptions!C9</f>
        <v>12060</v>
      </c>
      <c r="J128" s="51">
        <f t="shared" si="2"/>
        <v>0</v>
      </c>
      <c r="K128" s="26">
        <f>E128*(H128+I128*Assumptions!D9)</f>
        <v>598770.6</v>
      </c>
      <c r="L128" s="26">
        <f t="shared" si="3"/>
        <v>127500</v>
      </c>
      <c r="M128" s="26">
        <f t="shared" si="4"/>
        <v>471270.6</v>
      </c>
      <c r="N128" s="26">
        <f t="shared" si="5"/>
        <v>471270.6</v>
      </c>
      <c r="O128" s="26">
        <f t="shared" si="6"/>
        <v>0</v>
      </c>
      <c r="P128" s="26">
        <f t="shared" si="7"/>
        <v>0</v>
      </c>
      <c r="Q128" s="3">
        <f>COUNTIFS('Product decisions'!$A$7:$A$32,A128,'Product decisions'!$C$7:$C$32,B128)</f>
        <v>0</v>
      </c>
      <c r="R128" s="3">
        <f>COUNTIFS('Product decisions'!$A$7:$A$32,A128,'Product decisions'!$H$7:$H$32,B128)</f>
        <v>0</v>
      </c>
      <c r="S128" s="3">
        <f>COUNTIFS('Product decisions'!$A$7:$A$32,A128,'Product decisions'!$I$7:$I$32,B128)</f>
        <v>0</v>
      </c>
      <c r="T128" s="3">
        <f>COUNTIFS('Product decisions'!$A$7:$A$32,A128,'Product decisions'!$J$7:$J$32,B128)</f>
        <v>0</v>
      </c>
      <c r="U128" s="26">
        <f t="shared" si="14"/>
        <v>0</v>
      </c>
      <c r="V128" s="3">
        <f>'Source data'!D15</f>
        <v>1</v>
      </c>
      <c r="W128" s="27">
        <f t="shared" si="9"/>
        <v>0.7870636935</v>
      </c>
      <c r="X128" s="27">
        <f t="shared" si="10"/>
        <v>3.69624</v>
      </c>
    </row>
    <row r="129" ht="33.75" customHeight="1">
      <c r="A129" s="9" t="s">
        <v>85</v>
      </c>
      <c r="B129" s="3" t="s">
        <v>56</v>
      </c>
      <c r="C129" s="3" t="s">
        <v>53</v>
      </c>
      <c r="D129" s="43">
        <f>Assumptions!B30</f>
        <v>7000</v>
      </c>
      <c r="E129" s="44">
        <f>'Source data'!E16</f>
        <v>149</v>
      </c>
      <c r="F129" s="44">
        <f>'Source data'!F16</f>
        <v>52</v>
      </c>
      <c r="G129" s="51">
        <f>IF(B129="In-Store",'Source data'!J16+Assumptions!$B$15*'Source data'!K16,'Source data'!K16+Assumptions!$B$15*'Source data'!J16)*'Source data'!H16/'Source data'!G16*Assumptions!B9</f>
        <v>4669</v>
      </c>
      <c r="H129" s="51">
        <f t="shared" si="1"/>
        <v>4669</v>
      </c>
      <c r="I129" s="51">
        <f>(D129-H129)*Assumptions!C9</f>
        <v>2331</v>
      </c>
      <c r="J129" s="51">
        <f t="shared" si="2"/>
        <v>0</v>
      </c>
      <c r="K129" s="26">
        <f>E129*(H129+I129*Assumptions!D9)</f>
        <v>869340.5</v>
      </c>
      <c r="L129" s="26">
        <f t="shared" si="3"/>
        <v>364000</v>
      </c>
      <c r="M129" s="26">
        <f t="shared" si="4"/>
        <v>505340.5</v>
      </c>
      <c r="N129" s="26">
        <f t="shared" si="5"/>
        <v>505340.5</v>
      </c>
      <c r="O129" s="26">
        <f t="shared" si="6"/>
        <v>0</v>
      </c>
      <c r="P129" s="26">
        <f t="shared" si="7"/>
        <v>505340.5</v>
      </c>
      <c r="Q129" s="3">
        <f>COUNTIFS('Product decisions'!$A$7:$A$32,A129,'Product decisions'!$C$7:$C$32,B129)</f>
        <v>1</v>
      </c>
      <c r="R129" s="3">
        <f>COUNTIFS('Product decisions'!$A$7:$A$32,A129,'Product decisions'!$H$7:$H$32,B129)</f>
        <v>1</v>
      </c>
      <c r="S129" s="3">
        <f>COUNTIFS('Product decisions'!$A$7:$A$32,A129,'Product decisions'!$I$7:$I$32,B129)</f>
        <v>1</v>
      </c>
      <c r="T129" s="3">
        <f>COUNTIFS('Product decisions'!$A$7:$A$32,A129,'Product decisions'!$J$7:$J$32,B129)</f>
        <v>1</v>
      </c>
      <c r="U129" s="26">
        <f t="shared" si="14"/>
        <v>0</v>
      </c>
      <c r="V129" s="3">
        <f>'Source data'!D16</f>
        <v>1</v>
      </c>
      <c r="W129" s="27">
        <f t="shared" si="9"/>
        <v>0.5812917953</v>
      </c>
      <c r="X129" s="27">
        <f t="shared" si="10"/>
        <v>1.388298077</v>
      </c>
    </row>
    <row r="130" ht="33.75" customHeight="1">
      <c r="A130" s="9" t="s">
        <v>85</v>
      </c>
      <c r="B130" s="3" t="s">
        <v>80</v>
      </c>
      <c r="C130" s="3" t="s">
        <v>53</v>
      </c>
      <c r="D130" s="43">
        <f>Assumptions!B30</f>
        <v>7000</v>
      </c>
      <c r="E130" s="44">
        <f>'Source data'!E16</f>
        <v>149</v>
      </c>
      <c r="F130" s="44">
        <f>'Source data'!F16</f>
        <v>52</v>
      </c>
      <c r="G130" s="51">
        <f>IF(B130="In-Store",'Source data'!J16+Assumptions!$B$15*'Source data'!K16,'Source data'!K16+Assumptions!$B$15*'Source data'!J16)*'Source data'!H16/'Source data'!G16*Assumptions!B9</f>
        <v>4991</v>
      </c>
      <c r="H130" s="51">
        <f t="shared" si="1"/>
        <v>4991</v>
      </c>
      <c r="I130" s="51">
        <f>(D130-H130)*Assumptions!C9</f>
        <v>2009</v>
      </c>
      <c r="J130" s="51">
        <f t="shared" si="2"/>
        <v>0</v>
      </c>
      <c r="K130" s="26">
        <f>E130*(H130+I130*Assumptions!D9)</f>
        <v>893329.5</v>
      </c>
      <c r="L130" s="26">
        <f t="shared" si="3"/>
        <v>364000</v>
      </c>
      <c r="M130" s="26">
        <f t="shared" si="4"/>
        <v>529329.5</v>
      </c>
      <c r="N130" s="26">
        <f t="shared" si="5"/>
        <v>529329.5</v>
      </c>
      <c r="O130" s="26">
        <f t="shared" si="6"/>
        <v>0</v>
      </c>
      <c r="P130" s="26">
        <f t="shared" si="7"/>
        <v>0</v>
      </c>
      <c r="Q130" s="3">
        <f>COUNTIFS('Product decisions'!$A$7:$A$32,A130,'Product decisions'!$C$7:$C$32,B130)</f>
        <v>0</v>
      </c>
      <c r="R130" s="3">
        <f>COUNTIFS('Product decisions'!$A$7:$A$32,A130,'Product decisions'!$H$7:$H$32,B130)</f>
        <v>0</v>
      </c>
      <c r="S130" s="3">
        <f>COUNTIFS('Product decisions'!$A$7:$A$32,A130,'Product decisions'!$I$7:$I$32,B130)</f>
        <v>0</v>
      </c>
      <c r="T130" s="3">
        <f>COUNTIFS('Product decisions'!$A$7:$A$32,A130,'Product decisions'!$J$7:$J$32,B130)</f>
        <v>0</v>
      </c>
      <c r="U130" s="26">
        <f t="shared" si="14"/>
        <v>0</v>
      </c>
      <c r="V130" s="3">
        <f>'Source data'!D16</f>
        <v>1</v>
      </c>
      <c r="W130" s="27">
        <f t="shared" si="9"/>
        <v>0.592535565</v>
      </c>
      <c r="X130" s="27">
        <f t="shared" si="10"/>
        <v>1.454201923</v>
      </c>
    </row>
    <row r="131" ht="33.75" customHeight="1">
      <c r="A131" s="9" t="s">
        <v>86</v>
      </c>
      <c r="B131" s="3" t="s">
        <v>56</v>
      </c>
      <c r="C131" s="3" t="s">
        <v>53</v>
      </c>
      <c r="D131" s="43">
        <f>Assumptions!B31</f>
        <v>25000</v>
      </c>
      <c r="E131" s="44">
        <f>'Source data'!E17</f>
        <v>59</v>
      </c>
      <c r="F131" s="44">
        <f>'Source data'!F17</f>
        <v>37</v>
      </c>
      <c r="G131" s="51">
        <f>IF(B131="In-Store",'Source data'!J17+Assumptions!$B$15*'Source data'!K17,'Source data'!K17+Assumptions!$B$15*'Source data'!J17)*'Source data'!H17/'Source data'!G17*Assumptions!B9</f>
        <v>7360</v>
      </c>
      <c r="H131" s="51">
        <f t="shared" si="1"/>
        <v>7360</v>
      </c>
      <c r="I131" s="51">
        <f>(D131-H131)*Assumptions!C9</f>
        <v>17640</v>
      </c>
      <c r="J131" s="51">
        <f t="shared" si="2"/>
        <v>0</v>
      </c>
      <c r="K131" s="26">
        <f>E131*(H131+I131*Assumptions!D9)</f>
        <v>954620</v>
      </c>
      <c r="L131" s="26">
        <f t="shared" si="3"/>
        <v>925000</v>
      </c>
      <c r="M131" s="26">
        <f t="shared" si="4"/>
        <v>29620</v>
      </c>
      <c r="N131" s="26">
        <f t="shared" si="5"/>
        <v>29620</v>
      </c>
      <c r="O131" s="26">
        <f t="shared" si="6"/>
        <v>0</v>
      </c>
      <c r="P131" s="26">
        <f t="shared" si="7"/>
        <v>29620</v>
      </c>
      <c r="Q131" s="3">
        <f>COUNTIFS('Product decisions'!$A$7:$A$32,A131,'Product decisions'!$C$7:$C$32,B131)</f>
        <v>0</v>
      </c>
      <c r="R131" s="3">
        <f>COUNTIFS('Product decisions'!$A$7:$A$32,A131,'Product decisions'!$H$7:$H$32,B131)</f>
        <v>0</v>
      </c>
      <c r="S131" s="3">
        <f>COUNTIFS('Product decisions'!$A$7:$A$32,A131,'Product decisions'!$I$7:$I$32,B131)</f>
        <v>0</v>
      </c>
      <c r="T131" s="3">
        <f>COUNTIFS('Product decisions'!$A$7:$A$32,A131,'Product decisions'!$J$7:$J$32,B131)</f>
        <v>0</v>
      </c>
      <c r="U131" s="26">
        <f t="shared" si="14"/>
        <v>0</v>
      </c>
      <c r="V131" s="3">
        <f>'Source data'!D17</f>
        <v>1</v>
      </c>
      <c r="W131" s="27">
        <f t="shared" si="9"/>
        <v>0.03102805305</v>
      </c>
      <c r="X131" s="27">
        <f t="shared" si="10"/>
        <v>0.03202162162</v>
      </c>
    </row>
    <row r="132" ht="33.75" customHeight="1">
      <c r="A132" s="9" t="s">
        <v>86</v>
      </c>
      <c r="B132" s="3" t="s">
        <v>80</v>
      </c>
      <c r="C132" s="3" t="s">
        <v>53</v>
      </c>
      <c r="D132" s="43">
        <f>Assumptions!B31</f>
        <v>25000</v>
      </c>
      <c r="E132" s="44">
        <f>'Source data'!E17</f>
        <v>59</v>
      </c>
      <c r="F132" s="44">
        <f>'Source data'!F17</f>
        <v>37</v>
      </c>
      <c r="G132" s="51">
        <f>IF(B132="In-Store",'Source data'!J17+Assumptions!$B$15*'Source data'!K17,'Source data'!K17+Assumptions!$B$15*'Source data'!J17)*'Source data'!H17/'Source data'!G17*Assumptions!B9</f>
        <v>6440</v>
      </c>
      <c r="H132" s="51">
        <f t="shared" si="1"/>
        <v>6440</v>
      </c>
      <c r="I132" s="51">
        <f>(D132-H132)*Assumptions!C9</f>
        <v>18560</v>
      </c>
      <c r="J132" s="51">
        <f t="shared" si="2"/>
        <v>0</v>
      </c>
      <c r="K132" s="26">
        <f>E132*(H132+I132*Assumptions!D9)</f>
        <v>927480</v>
      </c>
      <c r="L132" s="26">
        <f t="shared" si="3"/>
        <v>925000</v>
      </c>
      <c r="M132" s="26">
        <f t="shared" si="4"/>
        <v>2480</v>
      </c>
      <c r="N132" s="26">
        <f t="shared" si="5"/>
        <v>2480</v>
      </c>
      <c r="O132" s="26">
        <f t="shared" si="6"/>
        <v>0</v>
      </c>
      <c r="P132" s="26">
        <f t="shared" si="7"/>
        <v>0</v>
      </c>
      <c r="Q132" s="3">
        <f>COUNTIFS('Product decisions'!$A$7:$A$32,A132,'Product decisions'!$C$7:$C$32,B132)</f>
        <v>0</v>
      </c>
      <c r="R132" s="3">
        <f>COUNTIFS('Product decisions'!$A$7:$A$32,A132,'Product decisions'!$H$7:$H$32,B132)</f>
        <v>0</v>
      </c>
      <c r="S132" s="3">
        <f>COUNTIFS('Product decisions'!$A$7:$A$32,A132,'Product decisions'!$I$7:$I$32,B132)</f>
        <v>0</v>
      </c>
      <c r="T132" s="3">
        <f>COUNTIFS('Product decisions'!$A$7:$A$32,A132,'Product decisions'!$J$7:$J$32,B132)</f>
        <v>0</v>
      </c>
      <c r="U132" s="26">
        <f t="shared" si="14"/>
        <v>0</v>
      </c>
      <c r="V132" s="3">
        <f>'Source data'!D17</f>
        <v>1</v>
      </c>
      <c r="W132" s="27">
        <f t="shared" si="9"/>
        <v>0.002673912106</v>
      </c>
      <c r="X132" s="27">
        <f t="shared" si="10"/>
        <v>0.002681081081</v>
      </c>
    </row>
    <row r="133" ht="33.75" customHeight="1">
      <c r="A133" s="9" t="s">
        <v>88</v>
      </c>
      <c r="B133" s="3" t="s">
        <v>56</v>
      </c>
      <c r="C133" s="3" t="s">
        <v>53</v>
      </c>
      <c r="D133" s="43">
        <f>Assumptions!B32</f>
        <v>18000</v>
      </c>
      <c r="E133" s="44">
        <f>'Source data'!E18</f>
        <v>34.98</v>
      </c>
      <c r="F133" s="44">
        <f>'Source data'!F18</f>
        <v>12</v>
      </c>
      <c r="G133" s="51">
        <f>IF(B133="In-Store",'Source data'!J18+Assumptions!$B$15*'Source data'!K18,'Source data'!K18+Assumptions!$B$15*'Source data'!J18)*'Source data'!H18/'Source data'!G18*Assumptions!B9</f>
        <v>14955.75</v>
      </c>
      <c r="H133" s="51">
        <f t="shared" si="1"/>
        <v>14955.75</v>
      </c>
      <c r="I133" s="51">
        <f>(D133-H133)*Assumptions!C9</f>
        <v>3044.25</v>
      </c>
      <c r="J133" s="51">
        <f t="shared" si="2"/>
        <v>0</v>
      </c>
      <c r="K133" s="26">
        <f>E133*(H133+I133*Assumptions!D9)</f>
        <v>576396.0675</v>
      </c>
      <c r="L133" s="26">
        <f t="shared" si="3"/>
        <v>216000</v>
      </c>
      <c r="M133" s="26">
        <f t="shared" si="4"/>
        <v>360396.0675</v>
      </c>
      <c r="N133" s="26">
        <f t="shared" si="5"/>
        <v>360396.0675</v>
      </c>
      <c r="O133" s="26">
        <f t="shared" si="6"/>
        <v>0</v>
      </c>
      <c r="P133" s="26">
        <f t="shared" si="7"/>
        <v>360396.0675</v>
      </c>
      <c r="Q133" s="3">
        <f>COUNTIFS('Product decisions'!$A$7:$A$32,A133,'Product decisions'!$C$7:$C$32,B133)</f>
        <v>1</v>
      </c>
      <c r="R133" s="3">
        <f>COUNTIFS('Product decisions'!$A$7:$A$32,A133,'Product decisions'!$H$7:$H$32,B133)</f>
        <v>1</v>
      </c>
      <c r="S133" s="3">
        <f>COUNTIFS('Product decisions'!$A$7:$A$32,A133,'Product decisions'!$I$7:$I$32,B133)</f>
        <v>1</v>
      </c>
      <c r="T133" s="3">
        <f>COUNTIFS('Product decisions'!$A$7:$A$32,A133,'Product decisions'!$J$7:$J$32,B133)</f>
        <v>1</v>
      </c>
      <c r="U133" s="26">
        <f t="shared" si="14"/>
        <v>0</v>
      </c>
      <c r="V133" s="3">
        <f>'Source data'!D18</f>
        <v>1</v>
      </c>
      <c r="W133" s="27">
        <f t="shared" si="9"/>
        <v>0.6252576793</v>
      </c>
      <c r="X133" s="27">
        <f t="shared" si="10"/>
        <v>1.668500313</v>
      </c>
    </row>
    <row r="134" ht="33.75" customHeight="1">
      <c r="A134" s="9" t="s">
        <v>88</v>
      </c>
      <c r="B134" s="3" t="s">
        <v>80</v>
      </c>
      <c r="C134" s="3" t="s">
        <v>53</v>
      </c>
      <c r="D134" s="43">
        <f>Assumptions!B32</f>
        <v>18000</v>
      </c>
      <c r="E134" s="44">
        <f>'Source data'!E18</f>
        <v>34.98</v>
      </c>
      <c r="F134" s="44">
        <f>'Source data'!F18</f>
        <v>12</v>
      </c>
      <c r="G134" s="51">
        <f>IF(B134="In-Store",'Source data'!J18+Assumptions!$B$15*'Source data'!K18,'Source data'!K18+Assumptions!$B$15*'Source data'!J18)*'Source data'!H18/'Source data'!G18*Assumptions!B9</f>
        <v>11436.75</v>
      </c>
      <c r="H134" s="51">
        <f t="shared" si="1"/>
        <v>11436.75</v>
      </c>
      <c r="I134" s="51">
        <f>(D134-H134)*Assumptions!C9</f>
        <v>6563.25</v>
      </c>
      <c r="J134" s="51">
        <f t="shared" si="2"/>
        <v>0</v>
      </c>
      <c r="K134" s="26">
        <f>E134*(H134+I134*Assumptions!D9)</f>
        <v>514848.7575</v>
      </c>
      <c r="L134" s="26">
        <f t="shared" si="3"/>
        <v>216000</v>
      </c>
      <c r="M134" s="26">
        <f t="shared" si="4"/>
        <v>298848.7575</v>
      </c>
      <c r="N134" s="26">
        <f t="shared" si="5"/>
        <v>298848.7575</v>
      </c>
      <c r="O134" s="26">
        <f t="shared" si="6"/>
        <v>0</v>
      </c>
      <c r="P134" s="26">
        <f t="shared" si="7"/>
        <v>0</v>
      </c>
      <c r="Q134" s="3">
        <f>COUNTIFS('Product decisions'!$A$7:$A$32,A134,'Product decisions'!$C$7:$C$32,B134)</f>
        <v>0</v>
      </c>
      <c r="R134" s="3">
        <f>COUNTIFS('Product decisions'!$A$7:$A$32,A134,'Product decisions'!$H$7:$H$32,B134)</f>
        <v>0</v>
      </c>
      <c r="S134" s="3">
        <f>COUNTIFS('Product decisions'!$A$7:$A$32,A134,'Product decisions'!$I$7:$I$32,B134)</f>
        <v>0</v>
      </c>
      <c r="T134" s="3">
        <f>COUNTIFS('Product decisions'!$A$7:$A$32,A134,'Product decisions'!$J$7:$J$32,B134)</f>
        <v>0</v>
      </c>
      <c r="U134" s="26">
        <f t="shared" si="14"/>
        <v>0</v>
      </c>
      <c r="V134" s="3">
        <f>'Source data'!D18</f>
        <v>1</v>
      </c>
      <c r="W134" s="27">
        <f t="shared" si="9"/>
        <v>0.5804593158</v>
      </c>
      <c r="X134" s="27">
        <f t="shared" si="10"/>
        <v>1.383559063</v>
      </c>
    </row>
    <row r="135" ht="33.75" customHeight="1">
      <c r="A135" s="9" t="s">
        <v>91</v>
      </c>
      <c r="B135" s="3" t="s">
        <v>56</v>
      </c>
      <c r="C135" s="3" t="s">
        <v>53</v>
      </c>
      <c r="D135" s="43">
        <f>Assumptions!B33</f>
        <v>6000</v>
      </c>
      <c r="E135" s="44">
        <f>'Source data'!E19</f>
        <v>199</v>
      </c>
      <c r="F135" s="44">
        <f>'Source data'!F19</f>
        <v>95</v>
      </c>
      <c r="G135" s="51">
        <f>IF(B135="In-Store",'Source data'!J19+Assumptions!$B$15*'Source data'!K19,'Source data'!K19+Assumptions!$B$15*'Source data'!J19)*'Source data'!H19/'Source data'!G19*Assumptions!B9</f>
        <v>2932.5</v>
      </c>
      <c r="H135" s="51">
        <f t="shared" si="1"/>
        <v>2932.5</v>
      </c>
      <c r="I135" s="51">
        <f>(D135-H135)*Assumptions!C9</f>
        <v>3067.5</v>
      </c>
      <c r="J135" s="51">
        <f t="shared" si="2"/>
        <v>0</v>
      </c>
      <c r="K135" s="26">
        <f>E135*(H135+I135*Assumptions!D9)</f>
        <v>888783.75</v>
      </c>
      <c r="L135" s="26">
        <f t="shared" si="3"/>
        <v>570000</v>
      </c>
      <c r="M135" s="26">
        <f t="shared" si="4"/>
        <v>318783.75</v>
      </c>
      <c r="N135" s="26">
        <f t="shared" si="5"/>
        <v>318783.75</v>
      </c>
      <c r="O135" s="26">
        <f t="shared" si="6"/>
        <v>0</v>
      </c>
      <c r="P135" s="26">
        <f t="shared" si="7"/>
        <v>106261.25</v>
      </c>
      <c r="Q135" s="3">
        <f>COUNTIFS('Product decisions'!$A$7:$A$32,A135,'Product decisions'!$C$7:$C$32,B135)</f>
        <v>0</v>
      </c>
      <c r="R135" s="3">
        <f>COUNTIFS('Product decisions'!$A$7:$A$32,A135,'Product decisions'!$H$7:$H$32,B135)</f>
        <v>0</v>
      </c>
      <c r="S135" s="3">
        <f>COUNTIFS('Product decisions'!$A$7:$A$32,A135,'Product decisions'!$I$7:$I$32,B135)</f>
        <v>1</v>
      </c>
      <c r="T135" s="3">
        <f>COUNTIFS('Product decisions'!$A$7:$A$32,A135,'Product decisions'!$J$7:$J$32,B135)</f>
        <v>0</v>
      </c>
      <c r="U135" s="26">
        <f t="shared" si="14"/>
        <v>0</v>
      </c>
      <c r="V135" s="3">
        <f>'Source data'!D19</f>
        <v>3</v>
      </c>
      <c r="W135" s="27">
        <f t="shared" si="9"/>
        <v>0.3586741432</v>
      </c>
      <c r="X135" s="27">
        <f t="shared" si="10"/>
        <v>0.5592697368</v>
      </c>
    </row>
    <row r="136" ht="33.75" customHeight="1">
      <c r="A136" s="9" t="s">
        <v>91</v>
      </c>
      <c r="B136" s="3" t="s">
        <v>80</v>
      </c>
      <c r="C136" s="3" t="s">
        <v>53</v>
      </c>
      <c r="D136" s="43">
        <f>Assumptions!B33</f>
        <v>6000</v>
      </c>
      <c r="E136" s="44">
        <f>'Source data'!E19</f>
        <v>199</v>
      </c>
      <c r="F136" s="44">
        <f>'Source data'!F19</f>
        <v>95</v>
      </c>
      <c r="G136" s="51">
        <f>IF(B136="In-Store",'Source data'!J19+Assumptions!$B$15*'Source data'!K19,'Source data'!K19+Assumptions!$B$15*'Source data'!J19)*'Source data'!H19/'Source data'!G19*Assumptions!B9</f>
        <v>5865</v>
      </c>
      <c r="H136" s="51">
        <f t="shared" si="1"/>
        <v>5865</v>
      </c>
      <c r="I136" s="51">
        <f>(D136-H136)*Assumptions!C9</f>
        <v>135</v>
      </c>
      <c r="J136" s="51">
        <f t="shared" si="2"/>
        <v>0</v>
      </c>
      <c r="K136" s="26">
        <f>E136*(H136+I136*Assumptions!D9)</f>
        <v>1180567.5</v>
      </c>
      <c r="L136" s="26">
        <f t="shared" si="3"/>
        <v>570000</v>
      </c>
      <c r="M136" s="26">
        <f t="shared" si="4"/>
        <v>610567.5</v>
      </c>
      <c r="N136" s="26">
        <f t="shared" si="5"/>
        <v>610567.5</v>
      </c>
      <c r="O136" s="26">
        <f t="shared" si="6"/>
        <v>0</v>
      </c>
      <c r="P136" s="26">
        <f t="shared" si="7"/>
        <v>0</v>
      </c>
      <c r="Q136" s="3">
        <f>COUNTIFS('Product decisions'!$A$7:$A$32,A136,'Product decisions'!$C$7:$C$32,B136)</f>
        <v>1</v>
      </c>
      <c r="R136" s="3">
        <f>COUNTIFS('Product decisions'!$A$7:$A$32,A136,'Product decisions'!$H$7:$H$32,B136)</f>
        <v>1</v>
      </c>
      <c r="S136" s="3">
        <f>COUNTIFS('Product decisions'!$A$7:$A$32,A136,'Product decisions'!$I$7:$I$32,B136)</f>
        <v>0</v>
      </c>
      <c r="T136" s="3">
        <f>COUNTIFS('Product decisions'!$A$7:$A$32,A136,'Product decisions'!$J$7:$J$32,B136)</f>
        <v>1</v>
      </c>
      <c r="U136" s="26">
        <f t="shared" si="14"/>
        <v>0</v>
      </c>
      <c r="V136" s="3">
        <f>'Source data'!D19</f>
        <v>3</v>
      </c>
      <c r="W136" s="27">
        <f t="shared" si="9"/>
        <v>0.5171813556</v>
      </c>
      <c r="X136" s="27">
        <f t="shared" si="10"/>
        <v>1.071171053</v>
      </c>
    </row>
    <row r="137" ht="33.75" customHeight="1">
      <c r="A137" s="9" t="s">
        <v>93</v>
      </c>
      <c r="B137" s="3" t="s">
        <v>56</v>
      </c>
      <c r="C137" s="3" t="s">
        <v>53</v>
      </c>
      <c r="D137" s="43">
        <f>Assumptions!B34</f>
        <v>4000</v>
      </c>
      <c r="E137" s="44">
        <f>'Source data'!E20</f>
        <v>399</v>
      </c>
      <c r="F137" s="44">
        <f>'Source data'!F20</f>
        <v>150</v>
      </c>
      <c r="G137" s="51">
        <f>IF(B137="In-Store",'Source data'!J20+Assumptions!$B$15*'Source data'!K20,'Source data'!K20+Assumptions!$B$15*'Source data'!J20)*'Source data'!H20/'Source data'!G20*Assumptions!B9</f>
        <v>2070</v>
      </c>
      <c r="H137" s="51">
        <f t="shared" si="1"/>
        <v>2070</v>
      </c>
      <c r="I137" s="51">
        <f>(D137-H137)*Assumptions!C9</f>
        <v>1930</v>
      </c>
      <c r="J137" s="51">
        <f t="shared" si="2"/>
        <v>0</v>
      </c>
      <c r="K137" s="26">
        <f>E137*(H137+I137*Assumptions!D9)</f>
        <v>1210965</v>
      </c>
      <c r="L137" s="26">
        <f t="shared" si="3"/>
        <v>600000</v>
      </c>
      <c r="M137" s="26">
        <f t="shared" si="4"/>
        <v>610965</v>
      </c>
      <c r="N137" s="26">
        <f t="shared" si="5"/>
        <v>610965</v>
      </c>
      <c r="O137" s="26">
        <f t="shared" si="6"/>
        <v>0</v>
      </c>
      <c r="P137" s="26">
        <f t="shared" si="7"/>
        <v>305482.5</v>
      </c>
      <c r="Q137" s="3">
        <f>COUNTIFS('Product decisions'!$A$7:$A$32,A137,'Product decisions'!$C$7:$C$32,B137)</f>
        <v>0</v>
      </c>
      <c r="R137" s="3">
        <f>COUNTIFS('Product decisions'!$A$7:$A$32,A137,'Product decisions'!$H$7:$H$32,B137)</f>
        <v>0</v>
      </c>
      <c r="S137" s="3">
        <f>COUNTIFS('Product decisions'!$A$7:$A$32,A137,'Product decisions'!$I$7:$I$32,B137)</f>
        <v>0</v>
      </c>
      <c r="T137" s="3">
        <f>COUNTIFS('Product decisions'!$A$7:$A$32,A137,'Product decisions'!$J$7:$J$32,B137)</f>
        <v>0</v>
      </c>
      <c r="U137" s="26">
        <f t="shared" si="14"/>
        <v>0</v>
      </c>
      <c r="V137" s="3">
        <f>'Source data'!D20</f>
        <v>2</v>
      </c>
      <c r="W137" s="27">
        <f t="shared" si="9"/>
        <v>0.5045273811</v>
      </c>
      <c r="X137" s="27">
        <f t="shared" si="10"/>
        <v>1.018275</v>
      </c>
    </row>
    <row r="138" ht="33.75" customHeight="1">
      <c r="A138" s="9" t="s">
        <v>93</v>
      </c>
      <c r="B138" s="3" t="s">
        <v>80</v>
      </c>
      <c r="C138" s="3" t="s">
        <v>53</v>
      </c>
      <c r="D138" s="43">
        <f>Assumptions!B34</f>
        <v>4000</v>
      </c>
      <c r="E138" s="44">
        <f>'Source data'!E20</f>
        <v>399</v>
      </c>
      <c r="F138" s="44">
        <f>'Source data'!F20</f>
        <v>150</v>
      </c>
      <c r="G138" s="51">
        <f>IF(B138="In-Store",'Source data'!J20+Assumptions!$B$15*'Source data'!K20,'Source data'!K20+Assumptions!$B$15*'Source data'!J20)*'Source data'!H20/'Source data'!G20*Assumptions!B9</f>
        <v>4140</v>
      </c>
      <c r="H138" s="51">
        <f t="shared" si="1"/>
        <v>4000</v>
      </c>
      <c r="I138" s="51">
        <f>(D138-H138)*Assumptions!C9</f>
        <v>0</v>
      </c>
      <c r="J138" s="51">
        <f t="shared" si="2"/>
        <v>0</v>
      </c>
      <c r="K138" s="26">
        <f>E138*(H138+I138*Assumptions!D9)</f>
        <v>1596000</v>
      </c>
      <c r="L138" s="26">
        <f t="shared" si="3"/>
        <v>600000</v>
      </c>
      <c r="M138" s="26">
        <f t="shared" si="4"/>
        <v>996000</v>
      </c>
      <c r="N138" s="26">
        <f t="shared" si="5"/>
        <v>996000</v>
      </c>
      <c r="O138" s="26">
        <f t="shared" si="6"/>
        <v>0</v>
      </c>
      <c r="P138" s="26">
        <f t="shared" si="7"/>
        <v>0</v>
      </c>
      <c r="Q138" s="3">
        <f>COUNTIFS('Product decisions'!$A$7:$A$32,A138,'Product decisions'!$C$7:$C$32,B138)</f>
        <v>1</v>
      </c>
      <c r="R138" s="3">
        <f>COUNTIFS('Product decisions'!$A$7:$A$32,A138,'Product decisions'!$H$7:$H$32,B138)</f>
        <v>1</v>
      </c>
      <c r="S138" s="3">
        <f>COUNTIFS('Product decisions'!$A$7:$A$32,A138,'Product decisions'!$I$7:$I$32,B138)</f>
        <v>1</v>
      </c>
      <c r="T138" s="3">
        <f>COUNTIFS('Product decisions'!$A$7:$A$32,A138,'Product decisions'!$J$7:$J$32,B138)</f>
        <v>1</v>
      </c>
      <c r="U138" s="26">
        <f t="shared" si="14"/>
        <v>0</v>
      </c>
      <c r="V138" s="3">
        <f>'Source data'!D20</f>
        <v>2</v>
      </c>
      <c r="W138" s="27">
        <f t="shared" si="9"/>
        <v>0.6240601504</v>
      </c>
      <c r="X138" s="27">
        <f t="shared" si="10"/>
        <v>1.66</v>
      </c>
    </row>
    <row r="139" ht="33.75" customHeight="1">
      <c r="A139" s="9" t="s">
        <v>96</v>
      </c>
      <c r="B139" s="3" t="s">
        <v>56</v>
      </c>
      <c r="C139" s="3" t="s">
        <v>53</v>
      </c>
      <c r="D139" s="43">
        <f>Assumptions!B35</f>
        <v>5000</v>
      </c>
      <c r="E139" s="44">
        <f>'Source data'!E21</f>
        <v>79</v>
      </c>
      <c r="F139" s="44">
        <f>'Source data'!F21</f>
        <v>30</v>
      </c>
      <c r="G139" s="51">
        <f>IF(B139="In-Store",'Source data'!J21+Assumptions!$B$15*'Source data'!K21,'Source data'!K21+Assumptions!$B$15*'Source data'!J21)*'Source data'!H21/'Source data'!G21*Assumptions!B9</f>
        <v>2443.75</v>
      </c>
      <c r="H139" s="51">
        <f t="shared" si="1"/>
        <v>2443.75</v>
      </c>
      <c r="I139" s="51">
        <f>(D139-H139)*Assumptions!C9</f>
        <v>2556.25</v>
      </c>
      <c r="J139" s="51">
        <f t="shared" si="2"/>
        <v>0</v>
      </c>
      <c r="K139" s="26">
        <f>E139*(H139+I139*Assumptions!D9)</f>
        <v>294028.125</v>
      </c>
      <c r="L139" s="26">
        <f t="shared" si="3"/>
        <v>150000</v>
      </c>
      <c r="M139" s="26">
        <f t="shared" si="4"/>
        <v>144028.125</v>
      </c>
      <c r="N139" s="26">
        <f t="shared" si="5"/>
        <v>144028.125</v>
      </c>
      <c r="O139" s="26">
        <f t="shared" si="6"/>
        <v>0</v>
      </c>
      <c r="P139" s="26">
        <f t="shared" si="7"/>
        <v>144028.125</v>
      </c>
      <c r="Q139" s="3">
        <f>COUNTIFS('Product decisions'!$A$7:$A$32,A139,'Product decisions'!$C$7:$C$32,B139)</f>
        <v>0</v>
      </c>
      <c r="R139" s="3">
        <f>COUNTIFS('Product decisions'!$A$7:$A$32,A139,'Product decisions'!$H$7:$H$32,B139)</f>
        <v>0</v>
      </c>
      <c r="S139" s="3">
        <f>COUNTIFS('Product decisions'!$A$7:$A$32,A139,'Product decisions'!$I$7:$I$32,B139)</f>
        <v>0</v>
      </c>
      <c r="T139" s="3">
        <f>COUNTIFS('Product decisions'!$A$7:$A$32,A139,'Product decisions'!$J$7:$J$32,B139)</f>
        <v>0</v>
      </c>
      <c r="U139" s="26">
        <f t="shared" si="14"/>
        <v>0</v>
      </c>
      <c r="V139" s="3">
        <f>'Source data'!D21</f>
        <v>1</v>
      </c>
      <c r="W139" s="27">
        <f t="shared" si="9"/>
        <v>0.4898447215</v>
      </c>
      <c r="X139" s="27">
        <f t="shared" si="10"/>
        <v>0.9601875</v>
      </c>
    </row>
    <row r="140" ht="33.75" customHeight="1">
      <c r="A140" s="9" t="s">
        <v>96</v>
      </c>
      <c r="B140" s="3" t="s">
        <v>80</v>
      </c>
      <c r="C140" s="3" t="s">
        <v>53</v>
      </c>
      <c r="D140" s="43">
        <f>Assumptions!B35</f>
        <v>5000</v>
      </c>
      <c r="E140" s="44">
        <f>'Source data'!E21</f>
        <v>79</v>
      </c>
      <c r="F140" s="44">
        <f>'Source data'!F21</f>
        <v>30</v>
      </c>
      <c r="G140" s="51">
        <f>IF(B140="In-Store",'Source data'!J21+Assumptions!$B$15*'Source data'!K21,'Source data'!K21+Assumptions!$B$15*'Source data'!J21)*'Source data'!H21/'Source data'!G21*Assumptions!B9</f>
        <v>4887.5</v>
      </c>
      <c r="H140" s="51">
        <f t="shared" si="1"/>
        <v>4887.5</v>
      </c>
      <c r="I140" s="51">
        <f>(D140-H140)*Assumptions!C9</f>
        <v>112.5</v>
      </c>
      <c r="J140" s="51">
        <f t="shared" si="2"/>
        <v>0</v>
      </c>
      <c r="K140" s="26">
        <f>E140*(H140+I140*Assumptions!D9)</f>
        <v>390556.25</v>
      </c>
      <c r="L140" s="26">
        <f t="shared" si="3"/>
        <v>150000</v>
      </c>
      <c r="M140" s="26">
        <f t="shared" si="4"/>
        <v>240556.25</v>
      </c>
      <c r="N140" s="26">
        <f t="shared" si="5"/>
        <v>240556.25</v>
      </c>
      <c r="O140" s="26">
        <f t="shared" si="6"/>
        <v>0</v>
      </c>
      <c r="P140" s="26">
        <f t="shared" si="7"/>
        <v>0</v>
      </c>
      <c r="Q140" s="3">
        <f>COUNTIFS('Product decisions'!$A$7:$A$32,A140,'Product decisions'!$C$7:$C$32,B140)</f>
        <v>0</v>
      </c>
      <c r="R140" s="3">
        <f>COUNTIFS('Product decisions'!$A$7:$A$32,A140,'Product decisions'!$H$7:$H$32,B140)</f>
        <v>0</v>
      </c>
      <c r="S140" s="3">
        <f>COUNTIFS('Product decisions'!$A$7:$A$32,A140,'Product decisions'!$I$7:$I$32,B140)</f>
        <v>1</v>
      </c>
      <c r="T140" s="3">
        <f>COUNTIFS('Product decisions'!$A$7:$A$32,A140,'Product decisions'!$J$7:$J$32,B140)</f>
        <v>1</v>
      </c>
      <c r="U140" s="26">
        <f t="shared" si="14"/>
        <v>0</v>
      </c>
      <c r="V140" s="3">
        <f>'Source data'!D21</f>
        <v>1</v>
      </c>
      <c r="W140" s="27">
        <f t="shared" si="9"/>
        <v>0.6159324041</v>
      </c>
      <c r="X140" s="27">
        <f t="shared" si="10"/>
        <v>1.603708333</v>
      </c>
    </row>
    <row r="141" ht="33.75" customHeight="1">
      <c r="A141" s="9" t="s">
        <v>98</v>
      </c>
      <c r="B141" s="3" t="s">
        <v>56</v>
      </c>
      <c r="C141" s="3" t="s">
        <v>53</v>
      </c>
      <c r="D141" s="43">
        <f>Assumptions!B36</f>
        <v>9000</v>
      </c>
      <c r="E141" s="44">
        <f>'Source data'!E22</f>
        <v>19.98</v>
      </c>
      <c r="F141" s="44">
        <f>'Source data'!F22</f>
        <v>12</v>
      </c>
      <c r="G141" s="51">
        <f>IF(B141="In-Store",'Source data'!J22+Assumptions!$B$15*'Source data'!K22,'Source data'!K22+Assumptions!$B$15*'Source data'!J22)*'Source data'!H22/'Source data'!G22*Assumptions!B9</f>
        <v>2328.75</v>
      </c>
      <c r="H141" s="51">
        <f t="shared" si="1"/>
        <v>2328.75</v>
      </c>
      <c r="I141" s="51">
        <f>(D141-H141)*Assumptions!C9</f>
        <v>6671.25</v>
      </c>
      <c r="J141" s="51">
        <f t="shared" si="2"/>
        <v>0</v>
      </c>
      <c r="K141" s="26">
        <f>E141*(H141+I141*Assumptions!D9)</f>
        <v>113174.2125</v>
      </c>
      <c r="L141" s="26">
        <f t="shared" si="3"/>
        <v>108000</v>
      </c>
      <c r="M141" s="26">
        <f t="shared" si="4"/>
        <v>5174.2125</v>
      </c>
      <c r="N141" s="26">
        <f t="shared" si="5"/>
        <v>5174.2125</v>
      </c>
      <c r="O141" s="26">
        <f t="shared" si="6"/>
        <v>0</v>
      </c>
      <c r="P141" s="26">
        <f t="shared" si="7"/>
        <v>5174.2125</v>
      </c>
      <c r="Q141" s="3">
        <f>COUNTIFS('Product decisions'!$A$7:$A$32,A141,'Product decisions'!$C$7:$C$32,B141)</f>
        <v>0</v>
      </c>
      <c r="R141" s="3">
        <f>COUNTIFS('Product decisions'!$A$7:$A$32,A141,'Product decisions'!$H$7:$H$32,B141)</f>
        <v>0</v>
      </c>
      <c r="S141" s="3">
        <f>COUNTIFS('Product decisions'!$A$7:$A$32,A141,'Product decisions'!$I$7:$I$32,B141)</f>
        <v>0</v>
      </c>
      <c r="T141" s="3">
        <f>COUNTIFS('Product decisions'!$A$7:$A$32,A141,'Product decisions'!$J$7:$J$32,B141)</f>
        <v>0</v>
      </c>
      <c r="U141" s="26">
        <f t="shared" si="14"/>
        <v>0</v>
      </c>
      <c r="V141" s="3">
        <f>'Source data'!D22</f>
        <v>1</v>
      </c>
      <c r="W141" s="27">
        <f t="shared" si="9"/>
        <v>0.045719006</v>
      </c>
      <c r="X141" s="27">
        <f t="shared" si="10"/>
        <v>0.047909375</v>
      </c>
    </row>
    <row r="142" ht="33.75" customHeight="1">
      <c r="A142" s="9" t="s">
        <v>98</v>
      </c>
      <c r="B142" s="3" t="s">
        <v>80</v>
      </c>
      <c r="C142" s="3" t="s">
        <v>53</v>
      </c>
      <c r="D142" s="43">
        <f>Assumptions!B36</f>
        <v>9000</v>
      </c>
      <c r="E142" s="44">
        <f>'Source data'!E22</f>
        <v>19.98</v>
      </c>
      <c r="F142" s="44">
        <f>'Source data'!F22</f>
        <v>12</v>
      </c>
      <c r="G142" s="51">
        <f>IF(B142="In-Store",'Source data'!J22+Assumptions!$B$15*'Source data'!K22,'Source data'!K22+Assumptions!$B$15*'Source data'!J22)*'Source data'!H22/'Source data'!G22*Assumptions!B9</f>
        <v>4657.5</v>
      </c>
      <c r="H142" s="51">
        <f t="shared" si="1"/>
        <v>4657.5</v>
      </c>
      <c r="I142" s="51">
        <f>(D142-H142)*Assumptions!C9</f>
        <v>4342.5</v>
      </c>
      <c r="J142" s="51">
        <f t="shared" si="2"/>
        <v>0</v>
      </c>
      <c r="K142" s="26">
        <f>E142*(H142+I142*Assumptions!D9)</f>
        <v>136438.425</v>
      </c>
      <c r="L142" s="26">
        <f t="shared" si="3"/>
        <v>108000</v>
      </c>
      <c r="M142" s="26">
        <f t="shared" si="4"/>
        <v>28438.425</v>
      </c>
      <c r="N142" s="26">
        <f t="shared" si="5"/>
        <v>28438.425</v>
      </c>
      <c r="O142" s="26">
        <f t="shared" si="6"/>
        <v>0</v>
      </c>
      <c r="P142" s="26">
        <f t="shared" si="7"/>
        <v>0</v>
      </c>
      <c r="Q142" s="3">
        <f>COUNTIFS('Product decisions'!$A$7:$A$32,A142,'Product decisions'!$C$7:$C$32,B142)</f>
        <v>0</v>
      </c>
      <c r="R142" s="3">
        <f>COUNTIFS('Product decisions'!$A$7:$A$32,A142,'Product decisions'!$H$7:$H$32,B142)</f>
        <v>0</v>
      </c>
      <c r="S142" s="3">
        <f>COUNTIFS('Product decisions'!$A$7:$A$32,A142,'Product decisions'!$I$7:$I$32,B142)</f>
        <v>0</v>
      </c>
      <c r="T142" s="3">
        <f>COUNTIFS('Product decisions'!$A$7:$A$32,A142,'Product decisions'!$J$7:$J$32,B142)</f>
        <v>0</v>
      </c>
      <c r="U142" s="26">
        <f t="shared" si="14"/>
        <v>0</v>
      </c>
      <c r="V142" s="3">
        <f>'Source data'!D22</f>
        <v>1</v>
      </c>
      <c r="W142" s="27">
        <f t="shared" si="9"/>
        <v>0.2084341343</v>
      </c>
      <c r="X142" s="27">
        <f t="shared" si="10"/>
        <v>0.26331875</v>
      </c>
    </row>
    <row r="143" ht="33.75" customHeight="1">
      <c r="A143" s="9" t="s">
        <v>102</v>
      </c>
      <c r="B143" s="3" t="s">
        <v>56</v>
      </c>
      <c r="C143" s="3" t="s">
        <v>53</v>
      </c>
      <c r="D143" s="43">
        <f>Assumptions!B37</f>
        <v>45000</v>
      </c>
      <c r="E143" s="44">
        <f>'Source data'!E23</f>
        <v>449</v>
      </c>
      <c r="F143" s="44">
        <f>'Source data'!F23</f>
        <v>240</v>
      </c>
      <c r="G143" s="51">
        <f>'Source data'!G23*Assumptions!$B$13*IF(B143="In-Store",1,Assumptions!$B$14)*Assumptions!B9</f>
        <v>41400</v>
      </c>
      <c r="H143" s="51">
        <f t="shared" si="1"/>
        <v>41400</v>
      </c>
      <c r="I143" s="51">
        <f>(D143-H143)*Assumptions!C9</f>
        <v>3600</v>
      </c>
      <c r="J143" s="51">
        <f t="shared" si="2"/>
        <v>0</v>
      </c>
      <c r="K143" s="26">
        <f>E143*(H143+I143*Assumptions!D9)</f>
        <v>19396800</v>
      </c>
      <c r="L143" s="26">
        <f t="shared" si="3"/>
        <v>10800000</v>
      </c>
      <c r="M143" s="26">
        <f t="shared" si="4"/>
        <v>8596800</v>
      </c>
      <c r="N143" s="26">
        <f t="shared" si="5"/>
        <v>8596800</v>
      </c>
      <c r="O143" s="26">
        <f t="shared" si="6"/>
        <v>0</v>
      </c>
      <c r="P143" s="26">
        <f t="shared" si="7"/>
        <v>2149200</v>
      </c>
      <c r="Q143" s="3">
        <f>COUNTIFS('Product decisions'!$A$7:$A$32,A143,'Product decisions'!$C$7:$C$32,B143)</f>
        <v>0</v>
      </c>
      <c r="R143" s="3">
        <f>COUNTIFS('Product decisions'!$A$7:$A$32,A143,'Product decisions'!$H$7:$H$32,B143)</f>
        <v>1</v>
      </c>
      <c r="S143" s="3">
        <f>COUNTIFS('Product decisions'!$A$7:$A$32,A143,'Product decisions'!$I$7:$I$32,B143)</f>
        <v>0</v>
      </c>
      <c r="T143" s="3">
        <f>COUNTIFS('Product decisions'!$A$7:$A$32,A143,'Product decisions'!$J$7:$J$32,B143)</f>
        <v>0</v>
      </c>
      <c r="U143" s="26">
        <f t="shared" ref="U143:U162" si="15">L143</f>
        <v>10800000</v>
      </c>
      <c r="V143" s="3">
        <f>'Source data'!D23</f>
        <v>4</v>
      </c>
      <c r="W143" s="27">
        <f t="shared" si="9"/>
        <v>0.4432071269</v>
      </c>
      <c r="X143" s="27">
        <f t="shared" si="10"/>
        <v>0.796</v>
      </c>
    </row>
    <row r="144" ht="33.75" customHeight="1">
      <c r="A144" s="9" t="s">
        <v>102</v>
      </c>
      <c r="B144" s="3" t="s">
        <v>80</v>
      </c>
      <c r="C144" s="3" t="s">
        <v>53</v>
      </c>
      <c r="D144" s="43">
        <f>Assumptions!B37</f>
        <v>45000</v>
      </c>
      <c r="E144" s="44">
        <f>'Source data'!E23</f>
        <v>449</v>
      </c>
      <c r="F144" s="44">
        <f>'Source data'!F23</f>
        <v>240</v>
      </c>
      <c r="G144" s="51">
        <f>'Source data'!G23*Assumptions!$B$13*IF(B144="In-Store",1,Assumptions!$B$14)*Assumptions!B9</f>
        <v>33120</v>
      </c>
      <c r="H144" s="51">
        <f t="shared" si="1"/>
        <v>33120</v>
      </c>
      <c r="I144" s="51">
        <f>(D144-H144)*Assumptions!C9</f>
        <v>11880</v>
      </c>
      <c r="J144" s="51">
        <f t="shared" si="2"/>
        <v>0</v>
      </c>
      <c r="K144" s="26">
        <f>E144*(H144+I144*Assumptions!D9)</f>
        <v>17537940</v>
      </c>
      <c r="L144" s="26">
        <f t="shared" si="3"/>
        <v>10800000</v>
      </c>
      <c r="M144" s="26">
        <f t="shared" si="4"/>
        <v>6737940</v>
      </c>
      <c r="N144" s="26">
        <f t="shared" si="5"/>
        <v>6737940</v>
      </c>
      <c r="O144" s="26">
        <f t="shared" si="6"/>
        <v>0</v>
      </c>
      <c r="P144" s="26">
        <f t="shared" si="7"/>
        <v>0</v>
      </c>
      <c r="Q144" s="3">
        <f>COUNTIFS('Product decisions'!$A$7:$A$32,A144,'Product decisions'!$C$7:$C$32,B144)</f>
        <v>0</v>
      </c>
      <c r="R144" s="3">
        <f>COUNTIFS('Product decisions'!$A$7:$A$32,A144,'Product decisions'!$H$7:$H$32,B144)</f>
        <v>0</v>
      </c>
      <c r="S144" s="3">
        <f>COUNTIFS('Product decisions'!$A$7:$A$32,A144,'Product decisions'!$I$7:$I$32,B144)</f>
        <v>0</v>
      </c>
      <c r="T144" s="3">
        <f>COUNTIFS('Product decisions'!$A$7:$A$32,A144,'Product decisions'!$J$7:$J$32,B144)</f>
        <v>0</v>
      </c>
      <c r="U144" s="26">
        <f t="shared" si="15"/>
        <v>10800000</v>
      </c>
      <c r="V144" s="3">
        <f>'Source data'!D23</f>
        <v>4</v>
      </c>
      <c r="W144" s="27">
        <f t="shared" si="9"/>
        <v>0.3841922141</v>
      </c>
      <c r="X144" s="27">
        <f t="shared" si="10"/>
        <v>0.6238833333</v>
      </c>
    </row>
    <row r="145" ht="33.75" customHeight="1">
      <c r="A145" s="9" t="s">
        <v>106</v>
      </c>
      <c r="B145" s="3" t="s">
        <v>56</v>
      </c>
      <c r="C145" s="3" t="s">
        <v>53</v>
      </c>
      <c r="D145" s="43">
        <f>Assumptions!B38</f>
        <v>14000</v>
      </c>
      <c r="E145" s="44">
        <f>'Source data'!E24</f>
        <v>329</v>
      </c>
      <c r="F145" s="44">
        <f>'Source data'!F24</f>
        <v>215</v>
      </c>
      <c r="G145" s="51">
        <f>'Source data'!G24*Assumptions!$B$13*IF(B145="In-Store",1,Assumptions!$B$14)*Assumptions!B9</f>
        <v>12880</v>
      </c>
      <c r="H145" s="51">
        <f t="shared" si="1"/>
        <v>12880</v>
      </c>
      <c r="I145" s="51">
        <f>(D145-H145)*Assumptions!C9</f>
        <v>1120</v>
      </c>
      <c r="J145" s="51">
        <f t="shared" si="2"/>
        <v>0</v>
      </c>
      <c r="K145" s="26">
        <f>E145*(H145+I145*Assumptions!D9)</f>
        <v>4421760</v>
      </c>
      <c r="L145" s="26">
        <f t="shared" si="3"/>
        <v>3010000</v>
      </c>
      <c r="M145" s="26">
        <f t="shared" si="4"/>
        <v>1411760</v>
      </c>
      <c r="N145" s="26">
        <f t="shared" si="5"/>
        <v>1411760</v>
      </c>
      <c r="O145" s="26">
        <f t="shared" si="6"/>
        <v>0</v>
      </c>
      <c r="P145" s="26">
        <f t="shared" si="7"/>
        <v>705880</v>
      </c>
      <c r="Q145" s="3">
        <f>COUNTIFS('Product decisions'!$A$7:$A$32,A145,'Product decisions'!$C$7:$C$32,B145)</f>
        <v>0</v>
      </c>
      <c r="R145" s="3">
        <f>COUNTIFS('Product decisions'!$A$7:$A$32,A145,'Product decisions'!$H$7:$H$32,B145)</f>
        <v>1</v>
      </c>
      <c r="S145" s="3">
        <f>COUNTIFS('Product decisions'!$A$7:$A$32,A145,'Product decisions'!$I$7:$I$32,B145)</f>
        <v>0</v>
      </c>
      <c r="T145" s="3">
        <f>COUNTIFS('Product decisions'!$A$7:$A$32,A145,'Product decisions'!$J$7:$J$32,B145)</f>
        <v>0</v>
      </c>
      <c r="U145" s="26">
        <f t="shared" si="15"/>
        <v>3010000</v>
      </c>
      <c r="V145" s="3">
        <f>'Source data'!D24</f>
        <v>2</v>
      </c>
      <c r="W145" s="27">
        <f t="shared" si="9"/>
        <v>0.3192755826</v>
      </c>
      <c r="X145" s="27">
        <f t="shared" si="10"/>
        <v>0.4690232558</v>
      </c>
    </row>
    <row r="146" ht="33.75" customHeight="1">
      <c r="A146" s="9" t="s">
        <v>106</v>
      </c>
      <c r="B146" s="3" t="s">
        <v>80</v>
      </c>
      <c r="C146" s="3" t="s">
        <v>53</v>
      </c>
      <c r="D146" s="43">
        <f>Assumptions!B38</f>
        <v>14000</v>
      </c>
      <c r="E146" s="44">
        <f>'Source data'!E24</f>
        <v>329</v>
      </c>
      <c r="F146" s="44">
        <f>'Source data'!F24</f>
        <v>215</v>
      </c>
      <c r="G146" s="51">
        <f>'Source data'!G24*Assumptions!$B$13*IF(B146="In-Store",1,Assumptions!$B$14)*Assumptions!B9</f>
        <v>10304</v>
      </c>
      <c r="H146" s="51">
        <f t="shared" si="1"/>
        <v>10304</v>
      </c>
      <c r="I146" s="51">
        <f>(D146-H146)*Assumptions!C9</f>
        <v>3696</v>
      </c>
      <c r="J146" s="51">
        <f t="shared" si="2"/>
        <v>0</v>
      </c>
      <c r="K146" s="26">
        <f>E146*(H146+I146*Assumptions!D9)</f>
        <v>3998008</v>
      </c>
      <c r="L146" s="26">
        <f t="shared" si="3"/>
        <v>3010000</v>
      </c>
      <c r="M146" s="26">
        <f t="shared" si="4"/>
        <v>988008</v>
      </c>
      <c r="N146" s="26">
        <f t="shared" si="5"/>
        <v>988008</v>
      </c>
      <c r="O146" s="26">
        <f t="shared" si="6"/>
        <v>0</v>
      </c>
      <c r="P146" s="26">
        <f t="shared" si="7"/>
        <v>0</v>
      </c>
      <c r="Q146" s="3">
        <f>COUNTIFS('Product decisions'!$A$7:$A$32,A146,'Product decisions'!$C$7:$C$32,B146)</f>
        <v>0</v>
      </c>
      <c r="R146" s="3">
        <f>COUNTIFS('Product decisions'!$A$7:$A$32,A146,'Product decisions'!$H$7:$H$32,B146)</f>
        <v>0</v>
      </c>
      <c r="S146" s="3">
        <f>COUNTIFS('Product decisions'!$A$7:$A$32,A146,'Product decisions'!$I$7:$I$32,B146)</f>
        <v>0</v>
      </c>
      <c r="T146" s="3">
        <f>COUNTIFS('Product decisions'!$A$7:$A$32,A146,'Product decisions'!$J$7:$J$32,B146)</f>
        <v>0</v>
      </c>
      <c r="U146" s="26">
        <f t="shared" si="15"/>
        <v>3010000</v>
      </c>
      <c r="V146" s="3">
        <f>'Source data'!D24</f>
        <v>2</v>
      </c>
      <c r="W146" s="27">
        <f t="shared" si="9"/>
        <v>0.2471250683</v>
      </c>
      <c r="X146" s="27">
        <f t="shared" si="10"/>
        <v>0.3282418605</v>
      </c>
    </row>
    <row r="147" ht="33.75" customHeight="1">
      <c r="A147" s="9" t="s">
        <v>111</v>
      </c>
      <c r="B147" s="3" t="s">
        <v>56</v>
      </c>
      <c r="C147" s="3" t="s">
        <v>53</v>
      </c>
      <c r="D147" s="43">
        <f>Assumptions!B39</f>
        <v>12000</v>
      </c>
      <c r="E147" s="44">
        <f>'Source data'!E25</f>
        <v>159</v>
      </c>
      <c r="F147" s="44">
        <f>'Source data'!F25</f>
        <v>138</v>
      </c>
      <c r="G147" s="51">
        <f>'Source data'!G25*Assumptions!$B$13*IF(B147="In-Store",1,Assumptions!$B$14)*Assumptions!B9</f>
        <v>11040</v>
      </c>
      <c r="H147" s="51">
        <f t="shared" si="1"/>
        <v>11040</v>
      </c>
      <c r="I147" s="51">
        <f>(D147-H147)*Assumptions!C9</f>
        <v>960</v>
      </c>
      <c r="J147" s="51">
        <f t="shared" si="2"/>
        <v>0</v>
      </c>
      <c r="K147" s="26">
        <f>E147*(H147+I147*Assumptions!D9)</f>
        <v>1831680</v>
      </c>
      <c r="L147" s="26">
        <f t="shared" si="3"/>
        <v>1656000</v>
      </c>
      <c r="M147" s="26">
        <f t="shared" si="4"/>
        <v>175680</v>
      </c>
      <c r="N147" s="26">
        <f t="shared" si="5"/>
        <v>175680</v>
      </c>
      <c r="O147" s="26">
        <f t="shared" si="6"/>
        <v>0</v>
      </c>
      <c r="P147" s="26">
        <f t="shared" si="7"/>
        <v>87840</v>
      </c>
      <c r="Q147" s="3">
        <f>COUNTIFS('Product decisions'!$A$7:$A$32,A147,'Product decisions'!$C$7:$C$32,B147)</f>
        <v>0</v>
      </c>
      <c r="R147" s="3">
        <f>COUNTIFS('Product decisions'!$A$7:$A$32,A147,'Product decisions'!$H$7:$H$32,B147)</f>
        <v>0</v>
      </c>
      <c r="S147" s="3">
        <f>COUNTIFS('Product decisions'!$A$7:$A$32,A147,'Product decisions'!$I$7:$I$32,B147)</f>
        <v>0</v>
      </c>
      <c r="T147" s="3">
        <f>COUNTIFS('Product decisions'!$A$7:$A$32,A147,'Product decisions'!$J$7:$J$32,B147)</f>
        <v>0</v>
      </c>
      <c r="U147" s="26">
        <f t="shared" si="15"/>
        <v>1656000</v>
      </c>
      <c r="V147" s="3">
        <f>'Source data'!D25</f>
        <v>2</v>
      </c>
      <c r="W147" s="27">
        <f t="shared" si="9"/>
        <v>0.09591194969</v>
      </c>
      <c r="X147" s="27">
        <f t="shared" si="10"/>
        <v>0.1060869565</v>
      </c>
    </row>
    <row r="148" ht="33.75" customHeight="1">
      <c r="A148" s="9" t="s">
        <v>111</v>
      </c>
      <c r="B148" s="3" t="s">
        <v>80</v>
      </c>
      <c r="C148" s="3" t="s">
        <v>53</v>
      </c>
      <c r="D148" s="43">
        <f>Assumptions!B39</f>
        <v>12000</v>
      </c>
      <c r="E148" s="44">
        <f>'Source data'!E25</f>
        <v>159</v>
      </c>
      <c r="F148" s="44">
        <f>'Source data'!F25</f>
        <v>138</v>
      </c>
      <c r="G148" s="51">
        <f>'Source data'!G25*Assumptions!$B$13*IF(B148="In-Store",1,Assumptions!$B$14)*Assumptions!B9</f>
        <v>8832</v>
      </c>
      <c r="H148" s="51">
        <f t="shared" si="1"/>
        <v>8832</v>
      </c>
      <c r="I148" s="51">
        <f>(D148-H148)*Assumptions!C9</f>
        <v>3168</v>
      </c>
      <c r="J148" s="51">
        <f t="shared" si="2"/>
        <v>0</v>
      </c>
      <c r="K148" s="26">
        <f>E148*(H148+I148*Assumptions!D9)</f>
        <v>1656144</v>
      </c>
      <c r="L148" s="26">
        <f t="shared" si="3"/>
        <v>1656000</v>
      </c>
      <c r="M148" s="26">
        <f t="shared" si="4"/>
        <v>144</v>
      </c>
      <c r="N148" s="26">
        <f t="shared" si="5"/>
        <v>144</v>
      </c>
      <c r="O148" s="26">
        <f t="shared" si="6"/>
        <v>0</v>
      </c>
      <c r="P148" s="26">
        <f t="shared" si="7"/>
        <v>0</v>
      </c>
      <c r="Q148" s="3">
        <f>COUNTIFS('Product decisions'!$A$7:$A$32,A148,'Product decisions'!$C$7:$C$32,B148)</f>
        <v>0</v>
      </c>
      <c r="R148" s="3">
        <f>COUNTIFS('Product decisions'!$A$7:$A$32,A148,'Product decisions'!$H$7:$H$32,B148)</f>
        <v>0</v>
      </c>
      <c r="S148" s="3">
        <f>COUNTIFS('Product decisions'!$A$7:$A$32,A148,'Product decisions'!$I$7:$I$32,B148)</f>
        <v>0</v>
      </c>
      <c r="T148" s="3">
        <f>COUNTIFS('Product decisions'!$A$7:$A$32,A148,'Product decisions'!$J$7:$J$32,B148)</f>
        <v>0</v>
      </c>
      <c r="U148" s="26">
        <f t="shared" si="15"/>
        <v>1656000</v>
      </c>
      <c r="V148" s="3">
        <f>'Source data'!D25</f>
        <v>2</v>
      </c>
      <c r="W148" s="27">
        <f t="shared" si="9"/>
        <v>0.00008694896096</v>
      </c>
      <c r="X148" s="27">
        <f t="shared" si="10"/>
        <v>0.00008695652174</v>
      </c>
    </row>
    <row r="149" ht="33.75" customHeight="1">
      <c r="A149" s="9" t="s">
        <v>114</v>
      </c>
      <c r="B149" s="3" t="s">
        <v>56</v>
      </c>
      <c r="C149" s="3" t="s">
        <v>53</v>
      </c>
      <c r="D149" s="43">
        <f>Assumptions!B40</f>
        <v>9000</v>
      </c>
      <c r="E149" s="44">
        <f>'Source data'!E26</f>
        <v>279</v>
      </c>
      <c r="F149" s="44">
        <f>'Source data'!F26</f>
        <v>164</v>
      </c>
      <c r="G149" s="51">
        <f>'Source data'!G26*Assumptions!$B$13*IF(B149="In-Store",1,Assumptions!$B$14)*Assumptions!B9</f>
        <v>8280</v>
      </c>
      <c r="H149" s="51">
        <f t="shared" si="1"/>
        <v>8280</v>
      </c>
      <c r="I149" s="51">
        <f>(D149-H149)*Assumptions!C9</f>
        <v>720</v>
      </c>
      <c r="J149" s="51">
        <f t="shared" si="2"/>
        <v>0</v>
      </c>
      <c r="K149" s="26">
        <f>E149*(H149+I149*Assumptions!D9)</f>
        <v>2410560</v>
      </c>
      <c r="L149" s="26">
        <f t="shared" si="3"/>
        <v>1476000</v>
      </c>
      <c r="M149" s="26">
        <f t="shared" si="4"/>
        <v>934560</v>
      </c>
      <c r="N149" s="26">
        <f t="shared" si="5"/>
        <v>934560</v>
      </c>
      <c r="O149" s="26">
        <f t="shared" si="6"/>
        <v>0</v>
      </c>
      <c r="P149" s="26">
        <f t="shared" si="7"/>
        <v>467280</v>
      </c>
      <c r="Q149" s="3">
        <f>COUNTIFS('Product decisions'!$A$7:$A$32,A149,'Product decisions'!$C$7:$C$32,B149)</f>
        <v>1</v>
      </c>
      <c r="R149" s="3">
        <f>COUNTIFS('Product decisions'!$A$7:$A$32,A149,'Product decisions'!$H$7:$H$32,B149)</f>
        <v>1</v>
      </c>
      <c r="S149" s="3">
        <f>COUNTIFS('Product decisions'!$A$7:$A$32,A149,'Product decisions'!$I$7:$I$32,B149)</f>
        <v>1</v>
      </c>
      <c r="T149" s="3">
        <f>COUNTIFS('Product decisions'!$A$7:$A$32,A149,'Product decisions'!$J$7:$J$32,B149)</f>
        <v>0</v>
      </c>
      <c r="U149" s="26">
        <f t="shared" si="15"/>
        <v>1476000</v>
      </c>
      <c r="V149" s="3">
        <f>'Source data'!D26</f>
        <v>2</v>
      </c>
      <c r="W149" s="27">
        <f t="shared" si="9"/>
        <v>0.3876941458</v>
      </c>
      <c r="X149" s="27">
        <f t="shared" si="10"/>
        <v>0.6331707317</v>
      </c>
    </row>
    <row r="150" ht="33.75" customHeight="1">
      <c r="A150" s="9" t="s">
        <v>114</v>
      </c>
      <c r="B150" s="3" t="s">
        <v>80</v>
      </c>
      <c r="C150" s="3" t="s">
        <v>53</v>
      </c>
      <c r="D150" s="43">
        <f>Assumptions!B40</f>
        <v>9000</v>
      </c>
      <c r="E150" s="44">
        <f>'Source data'!E26</f>
        <v>279</v>
      </c>
      <c r="F150" s="44">
        <f>'Source data'!F26</f>
        <v>164</v>
      </c>
      <c r="G150" s="51">
        <f>'Source data'!G26*Assumptions!$B$13*IF(B150="In-Store",1,Assumptions!$B$14)*Assumptions!B9</f>
        <v>6624</v>
      </c>
      <c r="H150" s="51">
        <f t="shared" si="1"/>
        <v>6624</v>
      </c>
      <c r="I150" s="51">
        <f>(D150-H150)*Assumptions!C9</f>
        <v>2376</v>
      </c>
      <c r="J150" s="51">
        <f t="shared" si="2"/>
        <v>0</v>
      </c>
      <c r="K150" s="26">
        <f>E150*(H150+I150*Assumptions!D9)</f>
        <v>2179548</v>
      </c>
      <c r="L150" s="26">
        <f t="shared" si="3"/>
        <v>1476000</v>
      </c>
      <c r="M150" s="26">
        <f t="shared" si="4"/>
        <v>703548</v>
      </c>
      <c r="N150" s="26">
        <f t="shared" si="5"/>
        <v>703548</v>
      </c>
      <c r="O150" s="26">
        <f t="shared" si="6"/>
        <v>0</v>
      </c>
      <c r="P150" s="26">
        <f t="shared" si="7"/>
        <v>0</v>
      </c>
      <c r="Q150" s="3">
        <f>COUNTIFS('Product decisions'!$A$7:$A$32,A150,'Product decisions'!$C$7:$C$32,B150)</f>
        <v>0</v>
      </c>
      <c r="R150" s="3">
        <f>COUNTIFS('Product decisions'!$A$7:$A$32,A150,'Product decisions'!$H$7:$H$32,B150)</f>
        <v>0</v>
      </c>
      <c r="S150" s="3">
        <f>COUNTIFS('Product decisions'!$A$7:$A$32,A150,'Product decisions'!$I$7:$I$32,B150)</f>
        <v>0</v>
      </c>
      <c r="T150" s="3">
        <f>COUNTIFS('Product decisions'!$A$7:$A$32,A150,'Product decisions'!$J$7:$J$32,B150)</f>
        <v>0</v>
      </c>
      <c r="U150" s="26">
        <f t="shared" si="15"/>
        <v>1476000</v>
      </c>
      <c r="V150" s="3">
        <f>'Source data'!D26</f>
        <v>2</v>
      </c>
      <c r="W150" s="27">
        <f t="shared" si="9"/>
        <v>0.3227953686</v>
      </c>
      <c r="X150" s="27">
        <f t="shared" si="10"/>
        <v>0.4766585366</v>
      </c>
    </row>
    <row r="151" ht="33.75" customHeight="1">
      <c r="A151" s="9" t="s">
        <v>118</v>
      </c>
      <c r="B151" s="3" t="s">
        <v>56</v>
      </c>
      <c r="C151" s="3" t="s">
        <v>53</v>
      </c>
      <c r="D151" s="43">
        <f>Assumptions!B41</f>
        <v>16000</v>
      </c>
      <c r="E151" s="44">
        <f>'Source data'!E27</f>
        <v>79</v>
      </c>
      <c r="F151" s="44">
        <f>'Source data'!F27</f>
        <v>40</v>
      </c>
      <c r="G151" s="51">
        <f>'Source data'!G27*Assumptions!$B$13*IF(B151="In-Store",1,Assumptions!$B$14)*Assumptions!B9</f>
        <v>14720</v>
      </c>
      <c r="H151" s="51">
        <f t="shared" si="1"/>
        <v>14720</v>
      </c>
      <c r="I151" s="51">
        <f>(D151-H151)*Assumptions!C9</f>
        <v>1280</v>
      </c>
      <c r="J151" s="51">
        <f t="shared" si="2"/>
        <v>0</v>
      </c>
      <c r="K151" s="26">
        <f>E151*(H151+I151*Assumptions!D9)</f>
        <v>1213440</v>
      </c>
      <c r="L151" s="26">
        <f t="shared" si="3"/>
        <v>640000</v>
      </c>
      <c r="M151" s="26">
        <f t="shared" si="4"/>
        <v>573440</v>
      </c>
      <c r="N151" s="26">
        <f t="shared" si="5"/>
        <v>573440</v>
      </c>
      <c r="O151" s="26">
        <f t="shared" si="6"/>
        <v>0</v>
      </c>
      <c r="P151" s="26">
        <f t="shared" si="7"/>
        <v>573440</v>
      </c>
      <c r="Q151" s="3">
        <f>COUNTIFS('Product decisions'!$A$7:$A$32,A151,'Product decisions'!$C$7:$C$32,B151)</f>
        <v>1</v>
      </c>
      <c r="R151" s="3">
        <f>COUNTIFS('Product decisions'!$A$7:$A$32,A151,'Product decisions'!$H$7:$H$32,B151)</f>
        <v>1</v>
      </c>
      <c r="S151" s="3">
        <f>COUNTIFS('Product decisions'!$A$7:$A$32,A151,'Product decisions'!$I$7:$I$32,B151)</f>
        <v>1</v>
      </c>
      <c r="T151" s="3">
        <f>COUNTIFS('Product decisions'!$A$7:$A$32,A151,'Product decisions'!$J$7:$J$32,B151)</f>
        <v>1</v>
      </c>
      <c r="U151" s="26">
        <f t="shared" si="15"/>
        <v>640000</v>
      </c>
      <c r="V151" s="3">
        <f>'Source data'!D27</f>
        <v>1</v>
      </c>
      <c r="W151" s="27">
        <f t="shared" si="9"/>
        <v>0.4725738397</v>
      </c>
      <c r="X151" s="27">
        <f t="shared" si="10"/>
        <v>0.896</v>
      </c>
    </row>
    <row r="152" ht="33.75" customHeight="1">
      <c r="A152" s="9" t="s">
        <v>118</v>
      </c>
      <c r="B152" s="3" t="s">
        <v>80</v>
      </c>
      <c r="C152" s="3" t="s">
        <v>53</v>
      </c>
      <c r="D152" s="43">
        <f>Assumptions!B41</f>
        <v>16000</v>
      </c>
      <c r="E152" s="44">
        <f>'Source data'!E27</f>
        <v>79</v>
      </c>
      <c r="F152" s="44">
        <f>'Source data'!F27</f>
        <v>40</v>
      </c>
      <c r="G152" s="51">
        <f>'Source data'!G27*Assumptions!$B$13*IF(B152="In-Store",1,Assumptions!$B$14)*Assumptions!B9</f>
        <v>11776</v>
      </c>
      <c r="H152" s="51">
        <f t="shared" si="1"/>
        <v>11776</v>
      </c>
      <c r="I152" s="51">
        <f>(D152-H152)*Assumptions!C9</f>
        <v>4224</v>
      </c>
      <c r="J152" s="51">
        <f t="shared" si="2"/>
        <v>0</v>
      </c>
      <c r="K152" s="26">
        <f>E152*(H152+I152*Assumptions!D9)</f>
        <v>1097152</v>
      </c>
      <c r="L152" s="26">
        <f t="shared" si="3"/>
        <v>640000</v>
      </c>
      <c r="M152" s="26">
        <f t="shared" si="4"/>
        <v>457152</v>
      </c>
      <c r="N152" s="26">
        <f t="shared" si="5"/>
        <v>457152</v>
      </c>
      <c r="O152" s="26">
        <f t="shared" si="6"/>
        <v>0</v>
      </c>
      <c r="P152" s="26">
        <f t="shared" si="7"/>
        <v>0</v>
      </c>
      <c r="Q152" s="3">
        <f>COUNTIFS('Product decisions'!$A$7:$A$32,A152,'Product decisions'!$C$7:$C$32,B152)</f>
        <v>0</v>
      </c>
      <c r="R152" s="3">
        <f>COUNTIFS('Product decisions'!$A$7:$A$32,A152,'Product decisions'!$H$7:$H$32,B152)</f>
        <v>0</v>
      </c>
      <c r="S152" s="3">
        <f>COUNTIFS('Product decisions'!$A$7:$A$32,A152,'Product decisions'!$I$7:$I$32,B152)</f>
        <v>0</v>
      </c>
      <c r="T152" s="3">
        <f>COUNTIFS('Product decisions'!$A$7:$A$32,A152,'Product decisions'!$J$7:$J$32,B152)</f>
        <v>0</v>
      </c>
      <c r="U152" s="26">
        <f t="shared" si="15"/>
        <v>640000</v>
      </c>
      <c r="V152" s="3">
        <f>'Source data'!D27</f>
        <v>1</v>
      </c>
      <c r="W152" s="27">
        <f t="shared" si="9"/>
        <v>0.4166715277</v>
      </c>
      <c r="X152" s="27">
        <f t="shared" si="10"/>
        <v>0.7143</v>
      </c>
    </row>
    <row r="153" ht="33.75" customHeight="1">
      <c r="A153" s="9" t="s">
        <v>123</v>
      </c>
      <c r="B153" s="3" t="s">
        <v>56</v>
      </c>
      <c r="C153" s="3" t="s">
        <v>53</v>
      </c>
      <c r="D153" s="43">
        <f>Assumptions!B42</f>
        <v>7000</v>
      </c>
      <c r="E153" s="44">
        <f>'Source data'!E28</f>
        <v>179</v>
      </c>
      <c r="F153" s="44">
        <f>'Source data'!F28</f>
        <v>88</v>
      </c>
      <c r="G153" s="51">
        <f>'Source data'!G28*Assumptions!$B$13*IF(B153="In-Store",1,Assumptions!$B$14)*Assumptions!B9</f>
        <v>6440</v>
      </c>
      <c r="H153" s="51">
        <f t="shared" si="1"/>
        <v>6440</v>
      </c>
      <c r="I153" s="51">
        <f>(D153-H153)*Assumptions!C9</f>
        <v>560</v>
      </c>
      <c r="J153" s="51">
        <f t="shared" si="2"/>
        <v>0</v>
      </c>
      <c r="K153" s="26">
        <f>E153*(H153+I153*Assumptions!D9)</f>
        <v>1202880</v>
      </c>
      <c r="L153" s="26">
        <f t="shared" si="3"/>
        <v>616000</v>
      </c>
      <c r="M153" s="26">
        <f t="shared" si="4"/>
        <v>586880</v>
      </c>
      <c r="N153" s="26">
        <f t="shared" si="5"/>
        <v>586880</v>
      </c>
      <c r="O153" s="26">
        <f t="shared" si="6"/>
        <v>0</v>
      </c>
      <c r="P153" s="26">
        <f t="shared" si="7"/>
        <v>293440</v>
      </c>
      <c r="Q153" s="3">
        <f>COUNTIFS('Product decisions'!$A$7:$A$32,A153,'Product decisions'!$C$7:$C$32,B153)</f>
        <v>0</v>
      </c>
      <c r="R153" s="3">
        <f>COUNTIFS('Product decisions'!$A$7:$A$32,A153,'Product decisions'!$H$7:$H$32,B153)</f>
        <v>0</v>
      </c>
      <c r="S153" s="3">
        <f>COUNTIFS('Product decisions'!$A$7:$A$32,A153,'Product decisions'!$I$7:$I$32,B153)</f>
        <v>1</v>
      </c>
      <c r="T153" s="3">
        <f>COUNTIFS('Product decisions'!$A$7:$A$32,A153,'Product decisions'!$J$7:$J$32,B153)</f>
        <v>1</v>
      </c>
      <c r="U153" s="26">
        <f t="shared" si="15"/>
        <v>616000</v>
      </c>
      <c r="V153" s="3">
        <f>'Source data'!D28</f>
        <v>2</v>
      </c>
      <c r="W153" s="27">
        <f t="shared" si="9"/>
        <v>0.4878957169</v>
      </c>
      <c r="X153" s="27">
        <f t="shared" si="10"/>
        <v>0.9527272727</v>
      </c>
    </row>
    <row r="154" ht="33.75" customHeight="1">
      <c r="A154" s="9" t="s">
        <v>123</v>
      </c>
      <c r="B154" s="3" t="s">
        <v>80</v>
      </c>
      <c r="C154" s="3" t="s">
        <v>53</v>
      </c>
      <c r="D154" s="43">
        <f>Assumptions!B42</f>
        <v>7000</v>
      </c>
      <c r="E154" s="44">
        <f>'Source data'!E28</f>
        <v>179</v>
      </c>
      <c r="F154" s="44">
        <f>'Source data'!F28</f>
        <v>88</v>
      </c>
      <c r="G154" s="51">
        <f>'Source data'!G28*Assumptions!$B$13*IF(B154="In-Store",1,Assumptions!$B$14)*Assumptions!B9</f>
        <v>5152</v>
      </c>
      <c r="H154" s="51">
        <f t="shared" si="1"/>
        <v>5152</v>
      </c>
      <c r="I154" s="51">
        <f>(D154-H154)*Assumptions!C9</f>
        <v>1848</v>
      </c>
      <c r="J154" s="51">
        <f t="shared" si="2"/>
        <v>0</v>
      </c>
      <c r="K154" s="26">
        <f>E154*(H154+I154*Assumptions!D9)</f>
        <v>1087604</v>
      </c>
      <c r="L154" s="26">
        <f t="shared" si="3"/>
        <v>616000</v>
      </c>
      <c r="M154" s="26">
        <f t="shared" si="4"/>
        <v>471604</v>
      </c>
      <c r="N154" s="26">
        <f t="shared" si="5"/>
        <v>471604</v>
      </c>
      <c r="O154" s="26">
        <f t="shared" si="6"/>
        <v>0</v>
      </c>
      <c r="P154" s="26">
        <f t="shared" si="7"/>
        <v>0</v>
      </c>
      <c r="Q154" s="3">
        <f>COUNTIFS('Product decisions'!$A$7:$A$32,A154,'Product decisions'!$C$7:$C$32,B154)</f>
        <v>1</v>
      </c>
      <c r="R154" s="3">
        <f>COUNTIFS('Product decisions'!$A$7:$A$32,A154,'Product decisions'!$H$7:$H$32,B154)</f>
        <v>0</v>
      </c>
      <c r="S154" s="3">
        <f>COUNTIFS('Product decisions'!$A$7:$A$32,A154,'Product decisions'!$I$7:$I$32,B154)</f>
        <v>0</v>
      </c>
      <c r="T154" s="3">
        <f>COUNTIFS('Product decisions'!$A$7:$A$32,A154,'Product decisions'!$J$7:$J$32,B154)</f>
        <v>0</v>
      </c>
      <c r="U154" s="26">
        <f t="shared" si="15"/>
        <v>616000</v>
      </c>
      <c r="V154" s="3">
        <f>'Source data'!D28</f>
        <v>2</v>
      </c>
      <c r="W154" s="27">
        <f t="shared" si="9"/>
        <v>0.4336173828</v>
      </c>
      <c r="X154" s="27">
        <f t="shared" si="10"/>
        <v>0.7655909091</v>
      </c>
    </row>
    <row r="155" ht="33.75" customHeight="1">
      <c r="A155" s="9" t="s">
        <v>127</v>
      </c>
      <c r="B155" s="3" t="s">
        <v>56</v>
      </c>
      <c r="C155" s="3" t="s">
        <v>53</v>
      </c>
      <c r="D155" s="43">
        <f>Assumptions!B43</f>
        <v>20000</v>
      </c>
      <c r="E155" s="44">
        <f>'Source data'!E29</f>
        <v>89</v>
      </c>
      <c r="F155" s="44">
        <f>'Source data'!F29</f>
        <v>52</v>
      </c>
      <c r="G155" s="51">
        <f>'Source data'!G29*Assumptions!$B$13*IF(B155="In-Store",1,Assumptions!$B$14)*Assumptions!B9</f>
        <v>18400</v>
      </c>
      <c r="H155" s="51">
        <f t="shared" si="1"/>
        <v>18400</v>
      </c>
      <c r="I155" s="51">
        <f>(D155-H155)*Assumptions!C9</f>
        <v>1600</v>
      </c>
      <c r="J155" s="51">
        <f t="shared" si="2"/>
        <v>0</v>
      </c>
      <c r="K155" s="26">
        <f>E155*(H155+I155*Assumptions!D9)</f>
        <v>1708800</v>
      </c>
      <c r="L155" s="26">
        <f t="shared" si="3"/>
        <v>1040000</v>
      </c>
      <c r="M155" s="26">
        <f t="shared" si="4"/>
        <v>668800</v>
      </c>
      <c r="N155" s="26">
        <f t="shared" si="5"/>
        <v>668800</v>
      </c>
      <c r="O155" s="26">
        <f t="shared" si="6"/>
        <v>0</v>
      </c>
      <c r="P155" s="26">
        <f t="shared" si="7"/>
        <v>668800</v>
      </c>
      <c r="Q155" s="3">
        <f>COUNTIFS('Product decisions'!$A$7:$A$32,A155,'Product decisions'!$C$7:$C$32,B155)</f>
        <v>0</v>
      </c>
      <c r="R155" s="3">
        <f>COUNTIFS('Product decisions'!$A$7:$A$32,A155,'Product decisions'!$H$7:$H$32,B155)</f>
        <v>1</v>
      </c>
      <c r="S155" s="3">
        <f>COUNTIFS('Product decisions'!$A$7:$A$32,A155,'Product decisions'!$I$7:$I$32,B155)</f>
        <v>0</v>
      </c>
      <c r="T155" s="3">
        <f>COUNTIFS('Product decisions'!$A$7:$A$32,A155,'Product decisions'!$J$7:$J$32,B155)</f>
        <v>0</v>
      </c>
      <c r="U155" s="26">
        <f t="shared" si="15"/>
        <v>1040000</v>
      </c>
      <c r="V155" s="3">
        <f>'Source data'!D29</f>
        <v>1</v>
      </c>
      <c r="W155" s="27">
        <f t="shared" si="9"/>
        <v>0.3913857678</v>
      </c>
      <c r="X155" s="27">
        <f t="shared" si="10"/>
        <v>0.6430769231</v>
      </c>
    </row>
    <row r="156" ht="33.75" customHeight="1">
      <c r="A156" s="9" t="s">
        <v>127</v>
      </c>
      <c r="B156" s="3" t="s">
        <v>80</v>
      </c>
      <c r="C156" s="3" t="s">
        <v>53</v>
      </c>
      <c r="D156" s="43">
        <f>Assumptions!B43</f>
        <v>20000</v>
      </c>
      <c r="E156" s="44">
        <f>'Source data'!E29</f>
        <v>89</v>
      </c>
      <c r="F156" s="44">
        <f>'Source data'!F29</f>
        <v>52</v>
      </c>
      <c r="G156" s="51">
        <f>'Source data'!G29*Assumptions!$B$13*IF(B156="In-Store",1,Assumptions!$B$14)*Assumptions!B9</f>
        <v>14720</v>
      </c>
      <c r="H156" s="51">
        <f t="shared" si="1"/>
        <v>14720</v>
      </c>
      <c r="I156" s="51">
        <f>(D156-H156)*Assumptions!C9</f>
        <v>5280</v>
      </c>
      <c r="J156" s="51">
        <f t="shared" si="2"/>
        <v>0</v>
      </c>
      <c r="K156" s="26">
        <f>E156*(H156+I156*Assumptions!D9)</f>
        <v>1545040</v>
      </c>
      <c r="L156" s="26">
        <f t="shared" si="3"/>
        <v>1040000</v>
      </c>
      <c r="M156" s="26">
        <f t="shared" si="4"/>
        <v>505040</v>
      </c>
      <c r="N156" s="26">
        <f t="shared" si="5"/>
        <v>505040</v>
      </c>
      <c r="O156" s="26">
        <f t="shared" si="6"/>
        <v>0</v>
      </c>
      <c r="P156" s="26">
        <f t="shared" si="7"/>
        <v>0</v>
      </c>
      <c r="Q156" s="3">
        <f>COUNTIFS('Product decisions'!$A$7:$A$32,A156,'Product decisions'!$C$7:$C$32,B156)</f>
        <v>0</v>
      </c>
      <c r="R156" s="3">
        <f>COUNTIFS('Product decisions'!$A$7:$A$32,A156,'Product decisions'!$H$7:$H$32,B156)</f>
        <v>0</v>
      </c>
      <c r="S156" s="3">
        <f>COUNTIFS('Product decisions'!$A$7:$A$32,A156,'Product decisions'!$I$7:$I$32,B156)</f>
        <v>0</v>
      </c>
      <c r="T156" s="3">
        <f>COUNTIFS('Product decisions'!$A$7:$A$32,A156,'Product decisions'!$J$7:$J$32,B156)</f>
        <v>0</v>
      </c>
      <c r="U156" s="26">
        <f t="shared" si="15"/>
        <v>1040000</v>
      </c>
      <c r="V156" s="3">
        <f>'Source data'!D29</f>
        <v>1</v>
      </c>
      <c r="W156" s="27">
        <f t="shared" si="9"/>
        <v>0.3268782685</v>
      </c>
      <c r="X156" s="27">
        <f t="shared" si="10"/>
        <v>0.4856153846</v>
      </c>
    </row>
    <row r="157" ht="33.75" customHeight="1">
      <c r="A157" s="9" t="s">
        <v>128</v>
      </c>
      <c r="B157" s="3" t="s">
        <v>56</v>
      </c>
      <c r="C157" s="3" t="s">
        <v>53</v>
      </c>
      <c r="D157" s="43">
        <f>Assumptions!B44</f>
        <v>9000</v>
      </c>
      <c r="E157" s="44">
        <f>'Source data'!E30</f>
        <v>39.98</v>
      </c>
      <c r="F157" s="44">
        <f>'Source data'!F30</f>
        <v>7</v>
      </c>
      <c r="G157" s="51">
        <f>'Source data'!G30*Assumptions!$B$13*IF(B157="In-Store",1,Assumptions!$B$14)*Assumptions!B9</f>
        <v>8280</v>
      </c>
      <c r="H157" s="51">
        <f t="shared" si="1"/>
        <v>8280</v>
      </c>
      <c r="I157" s="51">
        <f>(D157-H157)*Assumptions!C9</f>
        <v>720</v>
      </c>
      <c r="J157" s="51">
        <f t="shared" si="2"/>
        <v>0</v>
      </c>
      <c r="K157" s="26">
        <f>E157*(H157+I157*Assumptions!D9)</f>
        <v>345427.2</v>
      </c>
      <c r="L157" s="26">
        <f t="shared" si="3"/>
        <v>63000</v>
      </c>
      <c r="M157" s="26">
        <f t="shared" si="4"/>
        <v>282427.2</v>
      </c>
      <c r="N157" s="26">
        <f t="shared" si="5"/>
        <v>282427.2</v>
      </c>
      <c r="O157" s="26">
        <f t="shared" si="6"/>
        <v>0</v>
      </c>
      <c r="P157" s="26">
        <f t="shared" si="7"/>
        <v>282427.2</v>
      </c>
      <c r="Q157" s="3">
        <f>COUNTIFS('Product decisions'!$A$7:$A$32,A157,'Product decisions'!$C$7:$C$32,B157)</f>
        <v>1</v>
      </c>
      <c r="R157" s="3">
        <f>COUNTIFS('Product decisions'!$A$7:$A$32,A157,'Product decisions'!$H$7:$H$32,B157)</f>
        <v>0</v>
      </c>
      <c r="S157" s="3">
        <f>COUNTIFS('Product decisions'!$A$7:$A$32,A157,'Product decisions'!$I$7:$I$32,B157)</f>
        <v>1</v>
      </c>
      <c r="T157" s="3">
        <f>COUNTIFS('Product decisions'!$A$7:$A$32,A157,'Product decisions'!$J$7:$J$32,B157)</f>
        <v>1</v>
      </c>
      <c r="U157" s="26">
        <f t="shared" si="15"/>
        <v>63000</v>
      </c>
      <c r="V157" s="3">
        <f>'Source data'!D30</f>
        <v>1</v>
      </c>
      <c r="W157" s="27">
        <f t="shared" si="9"/>
        <v>0.8176171419</v>
      </c>
      <c r="X157" s="27">
        <f t="shared" si="10"/>
        <v>4.482971429</v>
      </c>
    </row>
    <row r="158" ht="33.75" customHeight="1">
      <c r="A158" s="9" t="s">
        <v>128</v>
      </c>
      <c r="B158" s="3" t="s">
        <v>80</v>
      </c>
      <c r="C158" s="3" t="s">
        <v>53</v>
      </c>
      <c r="D158" s="43">
        <f>Assumptions!B44</f>
        <v>9000</v>
      </c>
      <c r="E158" s="44">
        <f>'Source data'!E30</f>
        <v>39.98</v>
      </c>
      <c r="F158" s="44">
        <f>'Source data'!F30</f>
        <v>7</v>
      </c>
      <c r="G158" s="51">
        <f>'Source data'!G30*Assumptions!$B$13*IF(B158="In-Store",1,Assumptions!$B$14)*Assumptions!B9</f>
        <v>6624</v>
      </c>
      <c r="H158" s="51">
        <f t="shared" si="1"/>
        <v>6624</v>
      </c>
      <c r="I158" s="51">
        <f>(D158-H158)*Assumptions!C9</f>
        <v>2376</v>
      </c>
      <c r="J158" s="51">
        <f t="shared" si="2"/>
        <v>0</v>
      </c>
      <c r="K158" s="26">
        <f>E158*(H158+I158*Assumptions!D9)</f>
        <v>312323.76</v>
      </c>
      <c r="L158" s="26">
        <f t="shared" si="3"/>
        <v>63000</v>
      </c>
      <c r="M158" s="26">
        <f t="shared" si="4"/>
        <v>249323.76</v>
      </c>
      <c r="N158" s="26">
        <f t="shared" si="5"/>
        <v>249323.76</v>
      </c>
      <c r="O158" s="26">
        <f t="shared" si="6"/>
        <v>0</v>
      </c>
      <c r="P158" s="26">
        <f t="shared" si="7"/>
        <v>0</v>
      </c>
      <c r="Q158" s="3">
        <f>COUNTIFS('Product decisions'!$A$7:$A$32,A158,'Product decisions'!$C$7:$C$32,B158)</f>
        <v>0</v>
      </c>
      <c r="R158" s="3">
        <f>COUNTIFS('Product decisions'!$A$7:$A$32,A158,'Product decisions'!$H$7:$H$32,B158)</f>
        <v>0</v>
      </c>
      <c r="S158" s="3">
        <f>COUNTIFS('Product decisions'!$A$7:$A$32,A158,'Product decisions'!$I$7:$I$32,B158)</f>
        <v>0</v>
      </c>
      <c r="T158" s="3">
        <f>COUNTIFS('Product decisions'!$A$7:$A$32,A158,'Product decisions'!$J$7:$J$32,B158)</f>
        <v>0</v>
      </c>
      <c r="U158" s="26">
        <f t="shared" si="15"/>
        <v>63000</v>
      </c>
      <c r="V158" s="3">
        <f>'Source data'!D30</f>
        <v>1</v>
      </c>
      <c r="W158" s="27">
        <f t="shared" si="9"/>
        <v>0.7982862399</v>
      </c>
      <c r="X158" s="27">
        <f t="shared" si="10"/>
        <v>3.95752</v>
      </c>
    </row>
    <row r="159" ht="33.75" customHeight="1">
      <c r="A159" s="9" t="s">
        <v>130</v>
      </c>
      <c r="B159" s="3" t="s">
        <v>56</v>
      </c>
      <c r="C159" s="3" t="s">
        <v>53</v>
      </c>
      <c r="D159" s="43">
        <f>Assumptions!B45</f>
        <v>12000</v>
      </c>
      <c r="E159" s="44">
        <f>'Source data'!E31</f>
        <v>44.98</v>
      </c>
      <c r="F159" s="44">
        <f>'Source data'!F31</f>
        <v>16</v>
      </c>
      <c r="G159" s="51">
        <f>'Source data'!G31*Assumptions!$B$13*IF(B159="In-Store",1,Assumptions!$B$14)*Assumptions!B9</f>
        <v>11040</v>
      </c>
      <c r="H159" s="51">
        <f t="shared" si="1"/>
        <v>11040</v>
      </c>
      <c r="I159" s="51">
        <f>(D159-H159)*Assumptions!C9</f>
        <v>960</v>
      </c>
      <c r="J159" s="51">
        <f t="shared" si="2"/>
        <v>0</v>
      </c>
      <c r="K159" s="26">
        <f>E159*(H159+I159*Assumptions!D9)</f>
        <v>518169.6</v>
      </c>
      <c r="L159" s="26">
        <f t="shared" si="3"/>
        <v>192000</v>
      </c>
      <c r="M159" s="26">
        <f t="shared" si="4"/>
        <v>326169.6</v>
      </c>
      <c r="N159" s="26">
        <f t="shared" si="5"/>
        <v>326169.6</v>
      </c>
      <c r="O159" s="26">
        <f t="shared" si="6"/>
        <v>0</v>
      </c>
      <c r="P159" s="26">
        <f t="shared" si="7"/>
        <v>326169.6</v>
      </c>
      <c r="Q159" s="3">
        <f>COUNTIFS('Product decisions'!$A$7:$A$32,A159,'Product decisions'!$C$7:$C$32,B159)</f>
        <v>1</v>
      </c>
      <c r="R159" s="3">
        <f>COUNTIFS('Product decisions'!$A$7:$A$32,A159,'Product decisions'!$H$7:$H$32,B159)</f>
        <v>0</v>
      </c>
      <c r="S159" s="3">
        <f>COUNTIFS('Product decisions'!$A$7:$A$32,A159,'Product decisions'!$I$7:$I$32,B159)</f>
        <v>1</v>
      </c>
      <c r="T159" s="3">
        <f>COUNTIFS('Product decisions'!$A$7:$A$32,A159,'Product decisions'!$J$7:$J$32,B159)</f>
        <v>1</v>
      </c>
      <c r="U159" s="26">
        <f t="shared" si="15"/>
        <v>192000</v>
      </c>
      <c r="V159" s="3">
        <f>'Source data'!D31</f>
        <v>1</v>
      </c>
      <c r="W159" s="27">
        <f t="shared" si="9"/>
        <v>0.6294649474</v>
      </c>
      <c r="X159" s="27">
        <f t="shared" si="10"/>
        <v>1.6988</v>
      </c>
    </row>
    <row r="160" ht="33.75" customHeight="1">
      <c r="A160" s="9" t="s">
        <v>130</v>
      </c>
      <c r="B160" s="3" t="s">
        <v>80</v>
      </c>
      <c r="C160" s="3" t="s">
        <v>53</v>
      </c>
      <c r="D160" s="43">
        <f>Assumptions!B45</f>
        <v>12000</v>
      </c>
      <c r="E160" s="44">
        <f>'Source data'!E31</f>
        <v>44.98</v>
      </c>
      <c r="F160" s="44">
        <f>'Source data'!F31</f>
        <v>16</v>
      </c>
      <c r="G160" s="51">
        <f>'Source data'!G31*Assumptions!$B$13*IF(B160="In-Store",1,Assumptions!$B$14)*Assumptions!B9</f>
        <v>8832</v>
      </c>
      <c r="H160" s="51">
        <f t="shared" si="1"/>
        <v>8832</v>
      </c>
      <c r="I160" s="51">
        <f>(D160-H160)*Assumptions!C9</f>
        <v>3168</v>
      </c>
      <c r="J160" s="51">
        <f t="shared" si="2"/>
        <v>0</v>
      </c>
      <c r="K160" s="26">
        <f>E160*(H160+I160*Assumptions!D9)</f>
        <v>468511.68</v>
      </c>
      <c r="L160" s="26">
        <f t="shared" si="3"/>
        <v>192000</v>
      </c>
      <c r="M160" s="26">
        <f t="shared" si="4"/>
        <v>276511.68</v>
      </c>
      <c r="N160" s="26">
        <f t="shared" si="5"/>
        <v>276511.68</v>
      </c>
      <c r="O160" s="26">
        <f t="shared" si="6"/>
        <v>0</v>
      </c>
      <c r="P160" s="26">
        <f t="shared" si="7"/>
        <v>0</v>
      </c>
      <c r="Q160" s="3">
        <f>COUNTIFS('Product decisions'!$A$7:$A$32,A160,'Product decisions'!$C$7:$C$32,B160)</f>
        <v>0</v>
      </c>
      <c r="R160" s="3">
        <f>COUNTIFS('Product decisions'!$A$7:$A$32,A160,'Product decisions'!$H$7:$H$32,B160)</f>
        <v>0</v>
      </c>
      <c r="S160" s="3">
        <f>COUNTIFS('Product decisions'!$A$7:$A$32,A160,'Product decisions'!$I$7:$I$32,B160)</f>
        <v>0</v>
      </c>
      <c r="T160" s="3">
        <f>COUNTIFS('Product decisions'!$A$7:$A$32,A160,'Product decisions'!$J$7:$J$32,B160)</f>
        <v>0</v>
      </c>
      <c r="U160" s="26">
        <f t="shared" si="15"/>
        <v>192000</v>
      </c>
      <c r="V160" s="3">
        <f>'Source data'!D31</f>
        <v>1</v>
      </c>
      <c r="W160" s="27">
        <f t="shared" si="9"/>
        <v>0.5901916469</v>
      </c>
      <c r="X160" s="27">
        <f t="shared" si="10"/>
        <v>1.440165</v>
      </c>
    </row>
    <row r="161" ht="33.75" customHeight="1">
      <c r="A161" s="9" t="s">
        <v>131</v>
      </c>
      <c r="B161" s="3" t="s">
        <v>56</v>
      </c>
      <c r="C161" s="3" t="s">
        <v>53</v>
      </c>
      <c r="D161" s="43">
        <f>Assumptions!B46</f>
        <v>22000</v>
      </c>
      <c r="E161" s="44">
        <f>'Source data'!E32</f>
        <v>29.98</v>
      </c>
      <c r="F161" s="44">
        <f>'Source data'!F32</f>
        <v>9</v>
      </c>
      <c r="G161" s="51">
        <f>'Source data'!G32*Assumptions!$B$13*IF(B161="In-Store",1,Assumptions!$B$14)*Assumptions!B9</f>
        <v>20240</v>
      </c>
      <c r="H161" s="51">
        <f t="shared" si="1"/>
        <v>20240</v>
      </c>
      <c r="I161" s="51">
        <f>(D161-H161)*Assumptions!C9</f>
        <v>1760</v>
      </c>
      <c r="J161" s="51">
        <f t="shared" si="2"/>
        <v>0</v>
      </c>
      <c r="K161" s="26">
        <f>E161*(H161+I161*Assumptions!D9)</f>
        <v>633177.6</v>
      </c>
      <c r="L161" s="26">
        <f t="shared" si="3"/>
        <v>198000</v>
      </c>
      <c r="M161" s="26">
        <f t="shared" si="4"/>
        <v>435177.6</v>
      </c>
      <c r="N161" s="26">
        <f t="shared" si="5"/>
        <v>435177.6</v>
      </c>
      <c r="O161" s="26">
        <f t="shared" si="6"/>
        <v>0</v>
      </c>
      <c r="P161" s="26">
        <f t="shared" si="7"/>
        <v>435177.6</v>
      </c>
      <c r="Q161" s="3">
        <f>COUNTIFS('Product decisions'!$A$7:$A$32,A161,'Product decisions'!$C$7:$C$32,B161)</f>
        <v>1</v>
      </c>
      <c r="R161" s="3">
        <f>COUNTIFS('Product decisions'!$A$7:$A$32,A161,'Product decisions'!$H$7:$H$32,B161)</f>
        <v>1</v>
      </c>
      <c r="S161" s="3">
        <f>COUNTIFS('Product decisions'!$A$7:$A$32,A161,'Product decisions'!$I$7:$I$32,B161)</f>
        <v>1</v>
      </c>
      <c r="T161" s="3">
        <f>COUNTIFS('Product decisions'!$A$7:$A$32,A161,'Product decisions'!$J$7:$J$32,B161)</f>
        <v>1</v>
      </c>
      <c r="U161" s="26">
        <f t="shared" si="15"/>
        <v>198000</v>
      </c>
      <c r="V161" s="3">
        <f>'Source data'!D32</f>
        <v>1</v>
      </c>
      <c r="W161" s="27">
        <f t="shared" si="9"/>
        <v>0.6872915277</v>
      </c>
      <c r="X161" s="27">
        <f t="shared" si="10"/>
        <v>2.197866667</v>
      </c>
    </row>
    <row r="162" ht="33.75" customHeight="1">
      <c r="A162" s="9" t="s">
        <v>131</v>
      </c>
      <c r="B162" s="3" t="s">
        <v>80</v>
      </c>
      <c r="C162" s="3" t="s">
        <v>53</v>
      </c>
      <c r="D162" s="43">
        <f>Assumptions!B46</f>
        <v>22000</v>
      </c>
      <c r="E162" s="44">
        <f>'Source data'!E32</f>
        <v>29.98</v>
      </c>
      <c r="F162" s="44">
        <f>'Source data'!F32</f>
        <v>9</v>
      </c>
      <c r="G162" s="51">
        <f>'Source data'!G32*Assumptions!$B$13*IF(B162="In-Store",1,Assumptions!$B$14)*Assumptions!B9</f>
        <v>16192</v>
      </c>
      <c r="H162" s="51">
        <f t="shared" si="1"/>
        <v>16192</v>
      </c>
      <c r="I162" s="51">
        <f>(D162-H162)*Assumptions!C9</f>
        <v>5808</v>
      </c>
      <c r="J162" s="51">
        <f t="shared" si="2"/>
        <v>0</v>
      </c>
      <c r="K162" s="26">
        <f>E162*(H162+I162*Assumptions!D9)</f>
        <v>572498.08</v>
      </c>
      <c r="L162" s="26">
        <f t="shared" si="3"/>
        <v>198000</v>
      </c>
      <c r="M162" s="26">
        <f t="shared" si="4"/>
        <v>374498.08</v>
      </c>
      <c r="N162" s="26">
        <f t="shared" si="5"/>
        <v>374498.08</v>
      </c>
      <c r="O162" s="26">
        <f t="shared" si="6"/>
        <v>0</v>
      </c>
      <c r="P162" s="26">
        <f t="shared" si="7"/>
        <v>0</v>
      </c>
      <c r="Q162" s="3">
        <f>COUNTIFS('Product decisions'!$A$7:$A$32,A162,'Product decisions'!$C$7:$C$32,B162)</f>
        <v>0</v>
      </c>
      <c r="R162" s="3">
        <f>COUNTIFS('Product decisions'!$A$7:$A$32,A162,'Product decisions'!$H$7:$H$32,B162)</f>
        <v>0</v>
      </c>
      <c r="S162" s="3">
        <f>COUNTIFS('Product decisions'!$A$7:$A$32,A162,'Product decisions'!$I$7:$I$32,B162)</f>
        <v>0</v>
      </c>
      <c r="T162" s="3">
        <f>COUNTIFS('Product decisions'!$A$7:$A$32,A162,'Product decisions'!$J$7:$J$32,B162)</f>
        <v>0</v>
      </c>
      <c r="U162" s="26">
        <f t="shared" si="15"/>
        <v>198000</v>
      </c>
      <c r="V162" s="3">
        <f>'Source data'!D32</f>
        <v>1</v>
      </c>
      <c r="W162" s="27">
        <f t="shared" si="9"/>
        <v>0.6541473117</v>
      </c>
      <c r="X162" s="27">
        <f t="shared" si="10"/>
        <v>1.891404444</v>
      </c>
    </row>
    <row r="163" ht="24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24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24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24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36.0"/>
    <col customWidth="1" min="2" max="2" width="17.0"/>
    <col customWidth="1" min="3" max="3" width="25.0"/>
    <col customWidth="1" min="4" max="16" width="17.0"/>
    <col customWidth="1" min="17" max="18" width="65.0"/>
    <col customWidth="1" min="19" max="19" width="27.0"/>
    <col customWidth="1" min="20" max="20" width="17.0"/>
    <col customWidth="1" min="21" max="26" width="8.63"/>
  </cols>
  <sheetData>
    <row r="1" ht="24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24.0" customHeight="1">
      <c r="A2" s="24" t="s">
        <v>285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24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24.0" customHeight="1">
      <c r="A4" s="3" t="s">
        <v>288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24.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t="37.5" customHeight="1">
      <c r="A6" s="8" t="s">
        <v>26</v>
      </c>
      <c r="B6" s="8" t="s">
        <v>30</v>
      </c>
      <c r="C6" s="8" t="s">
        <v>42</v>
      </c>
      <c r="D6" s="8" t="s">
        <v>32</v>
      </c>
      <c r="E6" s="8" t="s">
        <v>296</v>
      </c>
      <c r="F6" s="8" t="s">
        <v>297</v>
      </c>
      <c r="G6" s="8" t="s">
        <v>298</v>
      </c>
      <c r="H6" s="8" t="s">
        <v>299</v>
      </c>
      <c r="I6" s="8" t="s">
        <v>300</v>
      </c>
      <c r="J6" s="8" t="s">
        <v>190</v>
      </c>
      <c r="K6" s="8" t="s">
        <v>191</v>
      </c>
      <c r="L6" s="8" t="s">
        <v>35</v>
      </c>
      <c r="M6" s="8" t="s">
        <v>36</v>
      </c>
      <c r="N6" s="8" t="s">
        <v>301</v>
      </c>
      <c r="O6" s="8" t="s">
        <v>269</v>
      </c>
      <c r="P6" s="8" t="s">
        <v>302</v>
      </c>
      <c r="Q6" s="8" t="s">
        <v>303</v>
      </c>
      <c r="R6" s="8" t="s">
        <v>304</v>
      </c>
      <c r="S6" s="8" t="s">
        <v>305</v>
      </c>
      <c r="T6" s="8" t="s">
        <v>306</v>
      </c>
    </row>
    <row r="7" ht="64.5" customHeight="1">
      <c r="A7" s="9" t="s">
        <v>54</v>
      </c>
      <c r="B7" s="3" t="s">
        <v>55</v>
      </c>
      <c r="C7" s="3" t="s">
        <v>87</v>
      </c>
      <c r="D7" s="3">
        <v>3.0</v>
      </c>
      <c r="E7" s="44">
        <v>299.0</v>
      </c>
      <c r="F7" s="44">
        <v>126.0</v>
      </c>
      <c r="G7" s="43">
        <v>40000.0</v>
      </c>
      <c r="H7" s="43">
        <v>38000.0</v>
      </c>
      <c r="I7" s="43">
        <v>2000.0</v>
      </c>
      <c r="J7" s="43">
        <v>18000.0</v>
      </c>
      <c r="K7" s="43">
        <v>22000.0</v>
      </c>
      <c r="L7" s="3">
        <v>4.5</v>
      </c>
      <c r="M7" s="43">
        <v>1200.0</v>
      </c>
      <c r="N7" s="26">
        <v>1.1661E7</v>
      </c>
      <c r="O7" s="26">
        <v>6621000.0</v>
      </c>
      <c r="P7" s="3" t="s">
        <v>314</v>
      </c>
      <c r="Q7" s="9"/>
      <c r="R7" s="9"/>
      <c r="S7" s="3" t="s">
        <v>317</v>
      </c>
      <c r="T7" s="3" t="s">
        <v>56</v>
      </c>
    </row>
    <row r="8" ht="64.5" customHeight="1">
      <c r="A8" s="9" t="s">
        <v>74</v>
      </c>
      <c r="B8" s="3" t="s">
        <v>55</v>
      </c>
      <c r="C8" s="3" t="s">
        <v>87</v>
      </c>
      <c r="D8" s="3">
        <v>2.0</v>
      </c>
      <c r="E8" s="44">
        <v>399.0</v>
      </c>
      <c r="F8" s="44">
        <v>184.0</v>
      </c>
      <c r="G8" s="43">
        <v>9000.0</v>
      </c>
      <c r="H8" s="43">
        <v>5400.0</v>
      </c>
      <c r="I8" s="43">
        <v>3600.0</v>
      </c>
      <c r="J8" s="43">
        <v>2700.0</v>
      </c>
      <c r="K8" s="43">
        <v>6300.0</v>
      </c>
      <c r="L8" s="3">
        <v>4.3</v>
      </c>
      <c r="M8" s="43">
        <v>95.0</v>
      </c>
      <c r="N8" s="26">
        <v>2872800.0</v>
      </c>
      <c r="O8" s="26">
        <v>1216800.0</v>
      </c>
      <c r="P8" s="3" t="s">
        <v>314</v>
      </c>
      <c r="Q8" s="9"/>
      <c r="R8" s="9"/>
      <c r="S8" s="3" t="s">
        <v>323</v>
      </c>
      <c r="T8" s="3" t="s">
        <v>56</v>
      </c>
    </row>
    <row r="9" ht="64.5" customHeight="1">
      <c r="A9" s="9" t="s">
        <v>75</v>
      </c>
      <c r="B9" s="3" t="s">
        <v>55</v>
      </c>
      <c r="C9" s="3" t="s">
        <v>87</v>
      </c>
      <c r="D9" s="3">
        <v>1.0</v>
      </c>
      <c r="E9" s="44">
        <v>279.0</v>
      </c>
      <c r="F9" s="44">
        <v>107.0</v>
      </c>
      <c r="G9" s="43">
        <v>12000.0</v>
      </c>
      <c r="H9" s="43">
        <v>10200.0</v>
      </c>
      <c r="I9" s="43">
        <v>1800.0</v>
      </c>
      <c r="J9" s="43">
        <v>6000.0</v>
      </c>
      <c r="K9" s="43">
        <v>6000.0</v>
      </c>
      <c r="L9" s="3">
        <v>4.6</v>
      </c>
      <c r="M9" s="43">
        <v>265.0</v>
      </c>
      <c r="N9" s="26">
        <v>3096900.0</v>
      </c>
      <c r="O9" s="26">
        <v>1812900.0</v>
      </c>
      <c r="P9" s="3" t="s">
        <v>314</v>
      </c>
      <c r="Q9" s="9"/>
      <c r="R9" s="9"/>
      <c r="S9" s="3" t="s">
        <v>324</v>
      </c>
      <c r="T9" s="3" t="s">
        <v>56</v>
      </c>
    </row>
    <row r="10" ht="64.5" customHeight="1">
      <c r="A10" s="9" t="s">
        <v>77</v>
      </c>
      <c r="B10" s="3" t="s">
        <v>55</v>
      </c>
      <c r="C10" s="3" t="s">
        <v>87</v>
      </c>
      <c r="D10" s="3">
        <v>1.0</v>
      </c>
      <c r="E10" s="44">
        <v>129.0</v>
      </c>
      <c r="F10" s="44">
        <v>42.0</v>
      </c>
      <c r="G10" s="43">
        <v>14000.0</v>
      </c>
      <c r="H10" s="43">
        <v>11200.0</v>
      </c>
      <c r="I10" s="43">
        <v>2800.0</v>
      </c>
      <c r="J10" s="43">
        <v>7700.0</v>
      </c>
      <c r="K10" s="43">
        <v>6300.0</v>
      </c>
      <c r="L10" s="3">
        <v>4.1</v>
      </c>
      <c r="M10" s="43">
        <v>100.0</v>
      </c>
      <c r="N10" s="26">
        <v>1625400.0</v>
      </c>
      <c r="O10" s="26">
        <v>1037400.0</v>
      </c>
      <c r="P10" s="3" t="s">
        <v>314</v>
      </c>
      <c r="Q10" s="9"/>
      <c r="R10" s="9"/>
      <c r="S10" s="3" t="s">
        <v>325</v>
      </c>
      <c r="T10" s="3" t="s">
        <v>56</v>
      </c>
    </row>
    <row r="11" ht="64.5" customHeight="1">
      <c r="A11" s="9" t="s">
        <v>78</v>
      </c>
      <c r="B11" s="3" t="s">
        <v>55</v>
      </c>
      <c r="C11" s="3" t="s">
        <v>158</v>
      </c>
      <c r="D11" s="3">
        <v>2.0</v>
      </c>
      <c r="E11" s="44">
        <v>149.0</v>
      </c>
      <c r="F11" s="44">
        <v>132.0</v>
      </c>
      <c r="G11" s="43">
        <v>8000.0</v>
      </c>
      <c r="H11" s="43">
        <v>6800.0</v>
      </c>
      <c r="I11" s="43">
        <v>1200.0</v>
      </c>
      <c r="J11" s="43">
        <v>3200.0</v>
      </c>
      <c r="K11" s="43">
        <v>4800.0</v>
      </c>
      <c r="L11" s="3">
        <v>4.8</v>
      </c>
      <c r="M11" s="43">
        <v>220.0</v>
      </c>
      <c r="N11" s="26">
        <v>1102600.0</v>
      </c>
      <c r="O11" s="26">
        <v>46600.0</v>
      </c>
      <c r="P11" s="3" t="s">
        <v>326</v>
      </c>
      <c r="Q11" s="9"/>
      <c r="R11" s="9"/>
      <c r="S11" s="3" t="s">
        <v>327</v>
      </c>
      <c r="T11" s="3" t="s">
        <v>56</v>
      </c>
    </row>
    <row r="12" ht="64.5" customHeight="1">
      <c r="A12" s="9" t="s">
        <v>79</v>
      </c>
      <c r="B12" s="3" t="s">
        <v>55</v>
      </c>
      <c r="C12" s="3" t="s">
        <v>158</v>
      </c>
      <c r="D12" s="3">
        <v>1.0</v>
      </c>
      <c r="E12" s="44">
        <v>269.0</v>
      </c>
      <c r="F12" s="44">
        <v>160.0</v>
      </c>
      <c r="G12" s="43">
        <v>5000.0</v>
      </c>
      <c r="H12" s="43">
        <v>4000.0</v>
      </c>
      <c r="I12" s="43">
        <v>1000.0</v>
      </c>
      <c r="J12" s="43">
        <v>1750.0</v>
      </c>
      <c r="K12" s="43">
        <v>3250.0</v>
      </c>
      <c r="L12" s="3">
        <v>4.7</v>
      </c>
      <c r="M12" s="43">
        <v>205.0</v>
      </c>
      <c r="N12" s="26">
        <v>1210500.0</v>
      </c>
      <c r="O12" s="26">
        <v>410500.0</v>
      </c>
      <c r="P12" s="3" t="s">
        <v>326</v>
      </c>
      <c r="Q12" s="9"/>
      <c r="R12" s="9"/>
      <c r="S12" s="3" t="s">
        <v>329</v>
      </c>
      <c r="T12" s="3" t="s">
        <v>56</v>
      </c>
    </row>
    <row r="13" ht="64.5" customHeight="1">
      <c r="A13" s="9" t="s">
        <v>81</v>
      </c>
      <c r="B13" s="3" t="s">
        <v>55</v>
      </c>
      <c r="C13" s="3" t="s">
        <v>158</v>
      </c>
      <c r="D13" s="3">
        <v>1.0</v>
      </c>
      <c r="E13" s="44">
        <v>119.0</v>
      </c>
      <c r="F13" s="44">
        <v>87.0</v>
      </c>
      <c r="G13" s="43">
        <v>6000.0</v>
      </c>
      <c r="H13" s="43">
        <v>3000.0</v>
      </c>
      <c r="I13" s="43">
        <v>3000.0</v>
      </c>
      <c r="J13" s="43">
        <v>2700.0</v>
      </c>
      <c r="K13" s="43">
        <v>3300.0</v>
      </c>
      <c r="L13" s="3">
        <v>4.8</v>
      </c>
      <c r="M13" s="43">
        <v>75.0</v>
      </c>
      <c r="N13" s="26">
        <v>535500.0</v>
      </c>
      <c r="O13" s="26">
        <v>13500.0</v>
      </c>
      <c r="P13" s="3" t="s">
        <v>314</v>
      </c>
      <c r="Q13" s="9"/>
      <c r="R13" s="9"/>
      <c r="S13" s="3" t="s">
        <v>330</v>
      </c>
      <c r="T13" s="3" t="s">
        <v>56</v>
      </c>
    </row>
    <row r="14" ht="64.5" customHeight="1">
      <c r="A14" s="9" t="s">
        <v>82</v>
      </c>
      <c r="B14" s="3" t="s">
        <v>55</v>
      </c>
      <c r="C14" s="3" t="s">
        <v>158</v>
      </c>
      <c r="D14" s="3">
        <v>1.0</v>
      </c>
      <c r="E14" s="44">
        <v>59.0</v>
      </c>
      <c r="F14" s="44">
        <v>35.0</v>
      </c>
      <c r="G14" s="43">
        <v>20000.0</v>
      </c>
      <c r="H14" s="43">
        <v>17000.0</v>
      </c>
      <c r="I14" s="43">
        <v>3000.0</v>
      </c>
      <c r="J14" s="43">
        <v>13000.0</v>
      </c>
      <c r="K14" s="43">
        <v>7000.0</v>
      </c>
      <c r="L14" s="3">
        <v>4.6</v>
      </c>
      <c r="M14" s="43">
        <v>60.0</v>
      </c>
      <c r="N14" s="26">
        <v>1091500.0</v>
      </c>
      <c r="O14" s="26">
        <v>391500.0</v>
      </c>
      <c r="P14" s="3" t="s">
        <v>314</v>
      </c>
      <c r="Q14" s="9"/>
      <c r="R14" s="9"/>
      <c r="S14" s="3" t="s">
        <v>331</v>
      </c>
      <c r="T14" s="3" t="s">
        <v>56</v>
      </c>
    </row>
    <row r="15" ht="64.5" customHeight="1">
      <c r="A15" s="9" t="s">
        <v>83</v>
      </c>
      <c r="B15" s="3" t="s">
        <v>55</v>
      </c>
      <c r="C15" s="3" t="s">
        <v>169</v>
      </c>
      <c r="D15" s="3">
        <v>1.0</v>
      </c>
      <c r="E15" s="44">
        <v>24.98</v>
      </c>
      <c r="F15" s="44">
        <v>4.25</v>
      </c>
      <c r="G15" s="43">
        <v>30000.0</v>
      </c>
      <c r="H15" s="43">
        <v>24000.0</v>
      </c>
      <c r="I15" s="43">
        <v>6000.0</v>
      </c>
      <c r="J15" s="43">
        <v>21000.0</v>
      </c>
      <c r="K15" s="43">
        <v>9000.0</v>
      </c>
      <c r="L15" s="3">
        <v>5.0</v>
      </c>
      <c r="M15" s="43">
        <v>6.0</v>
      </c>
      <c r="N15" s="26">
        <v>674460.0</v>
      </c>
      <c r="O15" s="26">
        <v>546960.0</v>
      </c>
      <c r="P15" s="3" t="s">
        <v>314</v>
      </c>
      <c r="Q15" s="9"/>
      <c r="R15" s="9"/>
      <c r="S15" s="3" t="s">
        <v>332</v>
      </c>
      <c r="T15" s="3" t="s">
        <v>56</v>
      </c>
    </row>
    <row r="16" ht="64.5" customHeight="1">
      <c r="A16" s="9" t="s">
        <v>85</v>
      </c>
      <c r="B16" s="3" t="s">
        <v>55</v>
      </c>
      <c r="C16" s="3" t="s">
        <v>169</v>
      </c>
      <c r="D16" s="3">
        <v>1.0</v>
      </c>
      <c r="E16" s="44">
        <v>149.0</v>
      </c>
      <c r="F16" s="44">
        <v>52.0</v>
      </c>
      <c r="G16" s="43">
        <v>7000.0</v>
      </c>
      <c r="H16" s="43">
        <v>5600.0</v>
      </c>
      <c r="I16" s="43">
        <v>1400.0</v>
      </c>
      <c r="J16" s="43">
        <v>3150.0</v>
      </c>
      <c r="K16" s="43">
        <v>3850.0</v>
      </c>
      <c r="L16" s="3">
        <v>4.8</v>
      </c>
      <c r="M16" s="43">
        <v>10.0</v>
      </c>
      <c r="N16" s="26">
        <v>938700.0</v>
      </c>
      <c r="O16" s="26">
        <v>574700.0</v>
      </c>
      <c r="P16" s="3" t="s">
        <v>314</v>
      </c>
      <c r="Q16" s="9"/>
      <c r="R16" s="9"/>
      <c r="S16" s="3" t="s">
        <v>333</v>
      </c>
      <c r="T16" s="3" t="s">
        <v>56</v>
      </c>
    </row>
    <row r="17" ht="64.5" customHeight="1">
      <c r="A17" s="9" t="s">
        <v>86</v>
      </c>
      <c r="B17" s="3" t="s">
        <v>55</v>
      </c>
      <c r="C17" s="3" t="s">
        <v>169</v>
      </c>
      <c r="D17" s="3">
        <v>1.0</v>
      </c>
      <c r="E17" s="44">
        <v>59.0</v>
      </c>
      <c r="F17" s="44">
        <v>37.0</v>
      </c>
      <c r="G17" s="43">
        <v>25000.0</v>
      </c>
      <c r="H17" s="43">
        <v>8000.0</v>
      </c>
      <c r="I17" s="43">
        <v>17000.0</v>
      </c>
      <c r="J17" s="43">
        <v>15000.0</v>
      </c>
      <c r="K17" s="43">
        <v>10000.0</v>
      </c>
      <c r="L17" s="3">
        <v>4.2</v>
      </c>
      <c r="M17" s="43">
        <v>3400.0</v>
      </c>
      <c r="N17" s="26">
        <v>973500.0</v>
      </c>
      <c r="O17" s="26">
        <v>48500.0</v>
      </c>
      <c r="P17" s="3" t="s">
        <v>314</v>
      </c>
      <c r="Q17" s="9"/>
      <c r="R17" s="9"/>
      <c r="S17" s="3" t="s">
        <v>334</v>
      </c>
      <c r="T17" s="3" t="s">
        <v>56</v>
      </c>
    </row>
    <row r="18" ht="64.5" customHeight="1">
      <c r="A18" s="9" t="s">
        <v>88</v>
      </c>
      <c r="B18" s="3" t="s">
        <v>55</v>
      </c>
      <c r="C18" s="3" t="s">
        <v>169</v>
      </c>
      <c r="D18" s="3">
        <v>1.0</v>
      </c>
      <c r="E18" s="44">
        <v>34.98</v>
      </c>
      <c r="F18" s="44">
        <v>12.0</v>
      </c>
      <c r="G18" s="43">
        <v>18000.0</v>
      </c>
      <c r="H18" s="43">
        <v>15300.0</v>
      </c>
      <c r="I18" s="43">
        <v>2700.0</v>
      </c>
      <c r="J18" s="43">
        <v>12600.0</v>
      </c>
      <c r="K18" s="43">
        <v>5400.0</v>
      </c>
      <c r="L18" s="3">
        <v>4.4</v>
      </c>
      <c r="M18" s="43">
        <v>480.0</v>
      </c>
      <c r="N18" s="26">
        <v>582417.0</v>
      </c>
      <c r="O18" s="26">
        <v>366416.9999999999</v>
      </c>
      <c r="P18" s="3" t="s">
        <v>314</v>
      </c>
      <c r="Q18" s="9"/>
      <c r="R18" s="9"/>
      <c r="S18" s="3" t="s">
        <v>335</v>
      </c>
      <c r="T18" s="3" t="s">
        <v>56</v>
      </c>
    </row>
    <row r="19" ht="64.5" customHeight="1">
      <c r="A19" s="9" t="s">
        <v>91</v>
      </c>
      <c r="B19" s="3" t="s">
        <v>55</v>
      </c>
      <c r="C19" s="3" t="s">
        <v>158</v>
      </c>
      <c r="D19" s="3">
        <v>3.0</v>
      </c>
      <c r="E19" s="44">
        <v>199.0</v>
      </c>
      <c r="F19" s="44">
        <v>95.0</v>
      </c>
      <c r="G19" s="43">
        <v>6000.0</v>
      </c>
      <c r="H19" s="43">
        <v>5100.0</v>
      </c>
      <c r="I19" s="43">
        <v>900.0</v>
      </c>
      <c r="J19" s="43">
        <v>0.0</v>
      </c>
      <c r="K19" s="43">
        <v>6000.0</v>
      </c>
      <c r="L19" s="3">
        <v>4.6</v>
      </c>
      <c r="M19" s="43">
        <v>340.0</v>
      </c>
      <c r="N19" s="26">
        <v>1104450.0</v>
      </c>
      <c r="O19" s="26">
        <v>534450.0</v>
      </c>
      <c r="P19" s="3" t="s">
        <v>314</v>
      </c>
      <c r="Q19" s="9"/>
      <c r="R19" s="9"/>
      <c r="S19" s="3" t="s">
        <v>336</v>
      </c>
      <c r="T19" s="3" t="s">
        <v>80</v>
      </c>
    </row>
    <row r="20" ht="64.5" customHeight="1">
      <c r="A20" s="9" t="s">
        <v>93</v>
      </c>
      <c r="B20" s="3" t="s">
        <v>55</v>
      </c>
      <c r="C20" s="3" t="s">
        <v>87</v>
      </c>
      <c r="D20" s="3">
        <v>2.0</v>
      </c>
      <c r="E20" s="44">
        <v>399.0</v>
      </c>
      <c r="F20" s="44">
        <v>150.0</v>
      </c>
      <c r="G20" s="43">
        <v>4000.0</v>
      </c>
      <c r="H20" s="43">
        <v>3600.0</v>
      </c>
      <c r="I20" s="43">
        <v>400.0</v>
      </c>
      <c r="J20" s="43">
        <v>0.0</v>
      </c>
      <c r="K20" s="43">
        <v>4000.0</v>
      </c>
      <c r="L20" s="3">
        <v>4.7</v>
      </c>
      <c r="M20" s="43">
        <v>210.0</v>
      </c>
      <c r="N20" s="26">
        <v>1516200.0</v>
      </c>
      <c r="O20" s="26">
        <v>916200.0</v>
      </c>
      <c r="P20" s="3" t="s">
        <v>314</v>
      </c>
      <c r="Q20" s="9"/>
      <c r="R20" s="9"/>
      <c r="S20" s="3" t="s">
        <v>337</v>
      </c>
      <c r="T20" s="3" t="s">
        <v>80</v>
      </c>
    </row>
    <row r="21" ht="64.5" customHeight="1">
      <c r="A21" s="9" t="s">
        <v>96</v>
      </c>
      <c r="B21" s="3" t="s">
        <v>55</v>
      </c>
      <c r="C21" s="3" t="s">
        <v>169</v>
      </c>
      <c r="D21" s="3">
        <v>1.0</v>
      </c>
      <c r="E21" s="44">
        <v>79.0</v>
      </c>
      <c r="F21" s="44">
        <v>30.0</v>
      </c>
      <c r="G21" s="43">
        <v>5000.0</v>
      </c>
      <c r="H21" s="43">
        <v>4250.0</v>
      </c>
      <c r="I21" s="43">
        <v>750.0</v>
      </c>
      <c r="J21" s="43">
        <v>0.0</v>
      </c>
      <c r="K21" s="43">
        <v>5000.0</v>
      </c>
      <c r="L21" s="3">
        <v>4.5</v>
      </c>
      <c r="M21" s="43">
        <v>180.0</v>
      </c>
      <c r="N21" s="26">
        <v>365375.0</v>
      </c>
      <c r="O21" s="26">
        <v>215375.0</v>
      </c>
      <c r="P21" s="3" t="s">
        <v>314</v>
      </c>
      <c r="Q21" s="9"/>
      <c r="R21" s="9"/>
      <c r="S21" s="3" t="s">
        <v>338</v>
      </c>
      <c r="T21" s="3" t="s">
        <v>80</v>
      </c>
    </row>
    <row r="22" ht="64.5" customHeight="1">
      <c r="A22" s="9" t="s">
        <v>98</v>
      </c>
      <c r="B22" s="3" t="s">
        <v>55</v>
      </c>
      <c r="C22" s="3" t="s">
        <v>169</v>
      </c>
      <c r="D22" s="3">
        <v>1.0</v>
      </c>
      <c r="E22" s="44">
        <v>19.98</v>
      </c>
      <c r="F22" s="44">
        <v>12.0</v>
      </c>
      <c r="G22" s="43">
        <v>9000.0</v>
      </c>
      <c r="H22" s="43">
        <v>4050.0</v>
      </c>
      <c r="I22" s="43">
        <v>4950.0</v>
      </c>
      <c r="J22" s="43">
        <v>0.0</v>
      </c>
      <c r="K22" s="43">
        <v>9000.0</v>
      </c>
      <c r="L22" s="3">
        <v>4.0</v>
      </c>
      <c r="M22" s="43">
        <v>55.0</v>
      </c>
      <c r="N22" s="26">
        <v>130369.5</v>
      </c>
      <c r="O22" s="26">
        <v>22369.5</v>
      </c>
      <c r="P22" s="3" t="s">
        <v>314</v>
      </c>
      <c r="Q22" s="9"/>
      <c r="R22" s="9"/>
      <c r="S22" s="3" t="s">
        <v>339</v>
      </c>
      <c r="T22" s="3" t="s">
        <v>80</v>
      </c>
    </row>
    <row r="23" ht="64.5" customHeight="1">
      <c r="A23" s="9" t="s">
        <v>102</v>
      </c>
      <c r="B23" s="3" t="s">
        <v>197</v>
      </c>
      <c r="C23" s="3" t="s">
        <v>87</v>
      </c>
      <c r="D23" s="3">
        <v>4.0</v>
      </c>
      <c r="E23" s="44">
        <v>449.0</v>
      </c>
      <c r="F23" s="44">
        <v>240.0</v>
      </c>
      <c r="G23" s="43">
        <v>45000.0</v>
      </c>
      <c r="H23" s="43"/>
      <c r="I23" s="43"/>
      <c r="J23" s="43"/>
      <c r="K23" s="43"/>
      <c r="L23" s="3"/>
      <c r="M23" s="43"/>
      <c r="N23" s="26"/>
      <c r="O23" s="26"/>
      <c r="P23" s="3" t="s">
        <v>314</v>
      </c>
      <c r="Q23" s="9" t="s">
        <v>340</v>
      </c>
      <c r="R23" s="9" t="s">
        <v>341</v>
      </c>
      <c r="S23" s="3" t="s">
        <v>342</v>
      </c>
      <c r="T23" s="3" t="s">
        <v>343</v>
      </c>
    </row>
    <row r="24" ht="64.5" customHeight="1">
      <c r="A24" s="9" t="s">
        <v>106</v>
      </c>
      <c r="B24" s="3" t="s">
        <v>197</v>
      </c>
      <c r="C24" s="3" t="s">
        <v>87</v>
      </c>
      <c r="D24" s="3">
        <v>2.0</v>
      </c>
      <c r="E24" s="44">
        <v>329.0</v>
      </c>
      <c r="F24" s="44">
        <v>215.0</v>
      </c>
      <c r="G24" s="43">
        <v>14000.0</v>
      </c>
      <c r="H24" s="43"/>
      <c r="I24" s="43"/>
      <c r="J24" s="43"/>
      <c r="K24" s="43"/>
      <c r="L24" s="3"/>
      <c r="M24" s="43"/>
      <c r="N24" s="26"/>
      <c r="O24" s="26"/>
      <c r="P24" s="3" t="s">
        <v>326</v>
      </c>
      <c r="Q24" s="9" t="s">
        <v>344</v>
      </c>
      <c r="R24" s="9" t="s">
        <v>345</v>
      </c>
      <c r="S24" s="3" t="s">
        <v>346</v>
      </c>
      <c r="T24" s="3" t="s">
        <v>343</v>
      </c>
    </row>
    <row r="25" ht="64.5" customHeight="1">
      <c r="A25" s="9" t="s">
        <v>111</v>
      </c>
      <c r="B25" s="3" t="s">
        <v>197</v>
      </c>
      <c r="C25" s="3" t="s">
        <v>158</v>
      </c>
      <c r="D25" s="3">
        <v>2.0</v>
      </c>
      <c r="E25" s="44">
        <v>159.0</v>
      </c>
      <c r="F25" s="44">
        <v>138.0</v>
      </c>
      <c r="G25" s="43">
        <v>12000.0</v>
      </c>
      <c r="H25" s="43"/>
      <c r="I25" s="43"/>
      <c r="J25" s="43"/>
      <c r="K25" s="43"/>
      <c r="L25" s="3"/>
      <c r="M25" s="43"/>
      <c r="N25" s="26"/>
      <c r="O25" s="26"/>
      <c r="P25" s="3" t="s">
        <v>326</v>
      </c>
      <c r="Q25" s="9" t="s">
        <v>347</v>
      </c>
      <c r="R25" s="9" t="s">
        <v>348</v>
      </c>
      <c r="S25" s="3" t="s">
        <v>349</v>
      </c>
      <c r="T25" s="3" t="s">
        <v>343</v>
      </c>
    </row>
    <row r="26" ht="64.5" customHeight="1">
      <c r="A26" s="9" t="s">
        <v>114</v>
      </c>
      <c r="B26" s="3" t="s">
        <v>197</v>
      </c>
      <c r="C26" s="3" t="s">
        <v>87</v>
      </c>
      <c r="D26" s="3">
        <v>2.0</v>
      </c>
      <c r="E26" s="44">
        <v>279.0</v>
      </c>
      <c r="F26" s="44">
        <v>164.0</v>
      </c>
      <c r="G26" s="43">
        <v>9000.0</v>
      </c>
      <c r="H26" s="43"/>
      <c r="I26" s="43"/>
      <c r="J26" s="43"/>
      <c r="K26" s="43"/>
      <c r="L26" s="3"/>
      <c r="M26" s="43"/>
      <c r="N26" s="26"/>
      <c r="O26" s="26"/>
      <c r="P26" s="3" t="s">
        <v>326</v>
      </c>
      <c r="Q26" s="9" t="s">
        <v>350</v>
      </c>
      <c r="R26" s="9" t="s">
        <v>351</v>
      </c>
      <c r="S26" s="3" t="s">
        <v>352</v>
      </c>
      <c r="T26" s="3" t="s">
        <v>343</v>
      </c>
    </row>
    <row r="27" ht="64.5" customHeight="1">
      <c r="A27" s="9" t="s">
        <v>118</v>
      </c>
      <c r="B27" s="3" t="s">
        <v>197</v>
      </c>
      <c r="C27" s="3" t="s">
        <v>158</v>
      </c>
      <c r="D27" s="3">
        <v>1.0</v>
      </c>
      <c r="E27" s="44">
        <v>79.0</v>
      </c>
      <c r="F27" s="44">
        <v>40.0</v>
      </c>
      <c r="G27" s="43">
        <v>16000.0</v>
      </c>
      <c r="H27" s="43"/>
      <c r="I27" s="43"/>
      <c r="J27" s="43"/>
      <c r="K27" s="43"/>
      <c r="L27" s="3"/>
      <c r="M27" s="43"/>
      <c r="N27" s="26"/>
      <c r="O27" s="26"/>
      <c r="P27" s="3" t="s">
        <v>314</v>
      </c>
      <c r="Q27" s="9" t="s">
        <v>353</v>
      </c>
      <c r="R27" s="9" t="s">
        <v>354</v>
      </c>
      <c r="S27" s="3" t="s">
        <v>355</v>
      </c>
      <c r="T27" s="3" t="s">
        <v>343</v>
      </c>
    </row>
    <row r="28" ht="64.5" customHeight="1">
      <c r="A28" s="9" t="s">
        <v>123</v>
      </c>
      <c r="B28" s="3" t="s">
        <v>197</v>
      </c>
      <c r="C28" s="3" t="s">
        <v>158</v>
      </c>
      <c r="D28" s="3">
        <v>2.0</v>
      </c>
      <c r="E28" s="44">
        <v>179.0</v>
      </c>
      <c r="F28" s="44">
        <v>88.0</v>
      </c>
      <c r="G28" s="43">
        <v>7000.0</v>
      </c>
      <c r="H28" s="43"/>
      <c r="I28" s="43"/>
      <c r="J28" s="43"/>
      <c r="K28" s="43"/>
      <c r="L28" s="3"/>
      <c r="M28" s="43"/>
      <c r="N28" s="26"/>
      <c r="O28" s="26"/>
      <c r="P28" s="3" t="s">
        <v>314</v>
      </c>
      <c r="Q28" s="9" t="s">
        <v>356</v>
      </c>
      <c r="R28" s="9" t="s">
        <v>357</v>
      </c>
      <c r="S28" s="3" t="s">
        <v>358</v>
      </c>
      <c r="T28" s="3" t="s">
        <v>343</v>
      </c>
    </row>
    <row r="29" ht="64.5" customHeight="1">
      <c r="A29" s="9" t="s">
        <v>127</v>
      </c>
      <c r="B29" s="3" t="s">
        <v>197</v>
      </c>
      <c r="C29" s="3" t="s">
        <v>169</v>
      </c>
      <c r="D29" s="3">
        <v>1.0</v>
      </c>
      <c r="E29" s="44">
        <v>89.0</v>
      </c>
      <c r="F29" s="44">
        <v>52.0</v>
      </c>
      <c r="G29" s="43">
        <v>20000.0</v>
      </c>
      <c r="H29" s="43"/>
      <c r="I29" s="43"/>
      <c r="J29" s="43"/>
      <c r="K29" s="43"/>
      <c r="L29" s="3"/>
      <c r="M29" s="43"/>
      <c r="N29" s="26"/>
      <c r="O29" s="26"/>
      <c r="P29" s="3" t="s">
        <v>314</v>
      </c>
      <c r="Q29" s="9" t="s">
        <v>359</v>
      </c>
      <c r="R29" s="9" t="s">
        <v>360</v>
      </c>
      <c r="S29" s="3" t="s">
        <v>361</v>
      </c>
      <c r="T29" s="3" t="s">
        <v>343</v>
      </c>
    </row>
    <row r="30" ht="64.5" customHeight="1">
      <c r="A30" s="9" t="s">
        <v>128</v>
      </c>
      <c r="B30" s="3" t="s">
        <v>197</v>
      </c>
      <c r="C30" s="3" t="s">
        <v>169</v>
      </c>
      <c r="D30" s="3">
        <v>1.0</v>
      </c>
      <c r="E30" s="44">
        <v>39.98</v>
      </c>
      <c r="F30" s="44">
        <v>7.0</v>
      </c>
      <c r="G30" s="43">
        <v>9000.0</v>
      </c>
      <c r="H30" s="43"/>
      <c r="I30" s="43"/>
      <c r="J30" s="43"/>
      <c r="K30" s="43"/>
      <c r="L30" s="3"/>
      <c r="M30" s="43"/>
      <c r="N30" s="26"/>
      <c r="O30" s="26"/>
      <c r="P30" s="3" t="s">
        <v>314</v>
      </c>
      <c r="Q30" s="9" t="s">
        <v>362</v>
      </c>
      <c r="R30" s="9" t="s">
        <v>363</v>
      </c>
      <c r="S30" s="3" t="s">
        <v>364</v>
      </c>
      <c r="T30" s="3" t="s">
        <v>343</v>
      </c>
    </row>
    <row r="31" ht="64.5" customHeight="1">
      <c r="A31" s="9" t="s">
        <v>130</v>
      </c>
      <c r="B31" s="3" t="s">
        <v>197</v>
      </c>
      <c r="C31" s="3" t="s">
        <v>169</v>
      </c>
      <c r="D31" s="3">
        <v>1.0</v>
      </c>
      <c r="E31" s="44">
        <v>44.98</v>
      </c>
      <c r="F31" s="44">
        <v>16.0</v>
      </c>
      <c r="G31" s="43">
        <v>12000.0</v>
      </c>
      <c r="H31" s="43"/>
      <c r="I31" s="43"/>
      <c r="J31" s="43"/>
      <c r="K31" s="43"/>
      <c r="L31" s="3"/>
      <c r="M31" s="43"/>
      <c r="N31" s="26"/>
      <c r="O31" s="26"/>
      <c r="P31" s="3" t="s">
        <v>314</v>
      </c>
      <c r="Q31" s="9" t="s">
        <v>365</v>
      </c>
      <c r="R31" s="9" t="s">
        <v>366</v>
      </c>
      <c r="S31" s="3" t="s">
        <v>367</v>
      </c>
      <c r="T31" s="3" t="s">
        <v>343</v>
      </c>
    </row>
    <row r="32" ht="64.5" customHeight="1">
      <c r="A32" s="9" t="s">
        <v>131</v>
      </c>
      <c r="B32" s="3" t="s">
        <v>197</v>
      </c>
      <c r="C32" s="3" t="s">
        <v>169</v>
      </c>
      <c r="D32" s="3">
        <v>1.0</v>
      </c>
      <c r="E32" s="44">
        <v>29.98</v>
      </c>
      <c r="F32" s="44">
        <v>9.0</v>
      </c>
      <c r="G32" s="43">
        <v>22000.0</v>
      </c>
      <c r="H32" s="43"/>
      <c r="I32" s="43"/>
      <c r="J32" s="43"/>
      <c r="K32" s="43"/>
      <c r="L32" s="3"/>
      <c r="M32" s="43"/>
      <c r="N32" s="26"/>
      <c r="O32" s="26"/>
      <c r="P32" s="3" t="s">
        <v>314</v>
      </c>
      <c r="Q32" s="9" t="s">
        <v>368</v>
      </c>
      <c r="R32" s="9" t="s">
        <v>369</v>
      </c>
      <c r="S32" s="3" t="s">
        <v>370</v>
      </c>
      <c r="T32" s="3" t="s">
        <v>343</v>
      </c>
    </row>
    <row r="33" ht="24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24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24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24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24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24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24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24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